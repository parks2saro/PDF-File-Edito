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"/>
    </mc:Choice>
  </mc:AlternateContent>
  <xr:revisionPtr revIDLastSave="0" documentId="13_ncr:1_{F0D117E9-526D-4E86-8D5B-11F660495B79}" xr6:coauthVersionLast="47" xr6:coauthVersionMax="47" xr10:uidLastSave="{00000000-0000-0000-0000-000000000000}"/>
  <bookViews>
    <workbookView xWindow="-120" yWindow="-120" windowWidth="20730" windowHeight="11160" xr2:uid="{48629611-77ED-4FDE-802B-EC5D4725F09E}"/>
  </bookViews>
  <sheets>
    <sheet name="INDEX" sheetId="2" r:id="rId1"/>
    <sheet name="Sheet1" sheetId="1" r:id="rId2"/>
  </sheets>
  <definedNames>
    <definedName name="_xlnm._FilterDatabase" localSheetId="1" hidden="1">Sheet1!$A$4:$I$63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" l="1"/>
  <c r="A2" i="2"/>
  <c r="B2" i="2"/>
  <c r="B6" i="2"/>
  <c r="B5" i="2" l="1"/>
  <c r="B8" i="2"/>
  <c r="B7" i="2"/>
  <c r="C4" i="2"/>
  <c r="D4" i="2" l="1"/>
  <c r="E4" i="2" s="1"/>
  <c r="A6" i="1"/>
  <c r="E6" i="1" s="1"/>
  <c r="C8" i="2" l="1"/>
  <c r="C6" i="2"/>
  <c r="C5" i="2"/>
  <c r="C7" i="2"/>
  <c r="F4" i="2"/>
  <c r="A7" i="1"/>
  <c r="E7" i="1" s="1"/>
  <c r="D8" i="2" l="1"/>
  <c r="D6" i="2"/>
  <c r="D5" i="2"/>
  <c r="D7" i="2"/>
  <c r="G4" i="2"/>
  <c r="A8" i="1"/>
  <c r="E8" i="1" s="1"/>
  <c r="E7" i="2" l="1"/>
  <c r="E6" i="2"/>
  <c r="E8" i="2"/>
  <c r="E5" i="2"/>
  <c r="H4" i="2"/>
  <c r="A9" i="1"/>
  <c r="E9" i="1" s="1"/>
  <c r="F6" i="2" l="1"/>
  <c r="F7" i="2"/>
  <c r="F5" i="2"/>
  <c r="F8" i="2"/>
  <c r="I4" i="2"/>
  <c r="A10" i="1"/>
  <c r="E10" i="1" s="1"/>
  <c r="G8" i="2" l="1"/>
  <c r="G6" i="2"/>
  <c r="G5" i="2"/>
  <c r="G7" i="2"/>
  <c r="J4" i="2"/>
  <c r="A11" i="1"/>
  <c r="E11" i="1" s="1"/>
  <c r="H5" i="2" l="1"/>
  <c r="H7" i="2"/>
  <c r="H8" i="2"/>
  <c r="K4" i="2"/>
  <c r="A12" i="1"/>
  <c r="E12" i="1" s="1"/>
  <c r="I7" i="2" l="1"/>
  <c r="I8" i="2"/>
  <c r="I5" i="2"/>
  <c r="L4" i="2"/>
  <c r="A13" i="1"/>
  <c r="E13" i="1" s="1"/>
  <c r="J7" i="2" l="1"/>
  <c r="J6" i="2"/>
  <c r="J8" i="2"/>
  <c r="J5" i="2"/>
  <c r="M4" i="2"/>
  <c r="A14" i="1"/>
  <c r="E14" i="1" s="1"/>
  <c r="K7" i="2" l="1"/>
  <c r="K5" i="2"/>
  <c r="K8" i="2"/>
  <c r="N4" i="2"/>
  <c r="A15" i="1"/>
  <c r="E15" i="1" s="1"/>
  <c r="L7" i="2" l="1"/>
  <c r="L8" i="2"/>
  <c r="L5" i="2"/>
  <c r="O4" i="2"/>
  <c r="A16" i="1"/>
  <c r="E16" i="1" s="1"/>
  <c r="M7" i="2" l="1"/>
  <c r="M8" i="2"/>
  <c r="M5" i="2"/>
  <c r="P4" i="2"/>
  <c r="A17" i="1"/>
  <c r="E17" i="1" s="1"/>
  <c r="N8" i="2" l="1"/>
  <c r="N7" i="2"/>
  <c r="N5" i="2"/>
  <c r="Q4" i="2"/>
  <c r="A18" i="1"/>
  <c r="E18" i="1" s="1"/>
  <c r="O5" i="2" l="1"/>
  <c r="O7" i="2"/>
  <c r="O8" i="2"/>
  <c r="R4" i="2"/>
  <c r="A19" i="1"/>
  <c r="E19" i="1" s="1"/>
  <c r="P8" i="2" l="1"/>
  <c r="P7" i="2"/>
  <c r="P5" i="2"/>
  <c r="S4" i="2"/>
  <c r="A20" i="1"/>
  <c r="E20" i="1" s="1"/>
  <c r="Q8" i="2" l="1"/>
  <c r="Q7" i="2"/>
  <c r="Q5" i="2"/>
  <c r="T4" i="2"/>
  <c r="A21" i="1"/>
  <c r="E21" i="1" s="1"/>
  <c r="R8" i="2" l="1"/>
  <c r="R5" i="2"/>
  <c r="R7" i="2"/>
  <c r="U4" i="2"/>
  <c r="A22" i="1"/>
  <c r="E22" i="1" s="1"/>
  <c r="S5" i="2" l="1"/>
  <c r="S8" i="2"/>
  <c r="S7" i="2"/>
  <c r="V4" i="2"/>
  <c r="A23" i="1"/>
  <c r="E23" i="1" s="1"/>
  <c r="T7" i="2" l="1"/>
  <c r="T5" i="2"/>
  <c r="T8" i="2"/>
  <c r="W4" i="2"/>
  <c r="A24" i="1"/>
  <c r="E24" i="1" s="1"/>
  <c r="U8" i="2" l="1"/>
  <c r="U5" i="2"/>
  <c r="U7" i="2"/>
  <c r="X4" i="2"/>
  <c r="A25" i="1"/>
  <c r="E25" i="1" s="1"/>
  <c r="V7" i="2" l="1"/>
  <c r="V8" i="2"/>
  <c r="V5" i="2"/>
  <c r="Y4" i="2"/>
  <c r="A26" i="1"/>
  <c r="E26" i="1" s="1"/>
  <c r="W7" i="2" l="1"/>
  <c r="W5" i="2"/>
  <c r="W8" i="2"/>
  <c r="Z4" i="2"/>
  <c r="A27" i="1"/>
  <c r="E27" i="1" s="1"/>
  <c r="X7" i="2" l="1"/>
  <c r="X5" i="2"/>
  <c r="X8" i="2"/>
  <c r="AA4" i="2"/>
  <c r="A28" i="1"/>
  <c r="E28" i="1" s="1"/>
  <c r="Y5" i="2" l="1"/>
  <c r="Y7" i="2"/>
  <c r="Y8" i="2"/>
  <c r="AB4" i="2"/>
  <c r="A29" i="1"/>
  <c r="E29" i="1" s="1"/>
  <c r="Z7" i="2" l="1"/>
  <c r="Z8" i="2"/>
  <c r="Z5" i="2"/>
  <c r="AC4" i="2"/>
  <c r="A30" i="1"/>
  <c r="E30" i="1" s="1"/>
  <c r="AA8" i="2" l="1"/>
  <c r="AA5" i="2"/>
  <c r="AA7" i="2"/>
  <c r="AD4" i="2"/>
  <c r="A31" i="1"/>
  <c r="E31" i="1" s="1"/>
  <c r="AB7" i="2" l="1"/>
  <c r="AB8" i="2"/>
  <c r="AB5" i="2"/>
  <c r="AE4" i="2"/>
  <c r="A32" i="1"/>
  <c r="E32" i="1" s="1"/>
  <c r="AC5" i="2" l="1"/>
  <c r="AC7" i="2"/>
  <c r="AC8" i="2"/>
  <c r="AF4" i="2"/>
  <c r="A33" i="1"/>
  <c r="E33" i="1" s="1"/>
  <c r="AD7" i="2" l="1"/>
  <c r="AD8" i="2"/>
  <c r="AD5" i="2"/>
  <c r="AG4" i="2"/>
  <c r="A34" i="1"/>
  <c r="E34" i="1" s="1"/>
  <c r="AE8" i="2" l="1"/>
  <c r="AE7" i="2"/>
  <c r="AE5" i="2"/>
  <c r="AH4" i="2"/>
  <c r="A35" i="1"/>
  <c r="E35" i="1" s="1"/>
  <c r="AF7" i="2" l="1"/>
  <c r="AF8" i="2"/>
  <c r="AF5" i="2"/>
  <c r="AI4" i="2"/>
  <c r="A36" i="1"/>
  <c r="E36" i="1" s="1"/>
  <c r="AG5" i="2" l="1"/>
  <c r="AG7" i="2"/>
  <c r="AG8" i="2"/>
  <c r="AJ4" i="2"/>
  <c r="A37" i="1"/>
  <c r="E37" i="1" s="1"/>
  <c r="AH7" i="2" l="1"/>
  <c r="AH8" i="2"/>
  <c r="AH5" i="2"/>
  <c r="AK4" i="2"/>
  <c r="A38" i="1"/>
  <c r="E38" i="1" s="1"/>
  <c r="AI7" i="2" l="1"/>
  <c r="AI8" i="2"/>
  <c r="AI5" i="2"/>
  <c r="AL4" i="2"/>
  <c r="A39" i="1"/>
  <c r="E39" i="1" s="1"/>
  <c r="AJ8" i="2" l="1"/>
  <c r="AJ5" i="2"/>
  <c r="AJ7" i="2"/>
  <c r="AM4" i="2"/>
  <c r="A40" i="1"/>
  <c r="E40" i="1" s="1"/>
  <c r="AK7" i="2" l="1"/>
  <c r="AK8" i="2"/>
  <c r="AK5" i="2"/>
  <c r="AN4" i="2"/>
  <c r="A41" i="1"/>
  <c r="E41" i="1" s="1"/>
  <c r="AL5" i="2" l="1"/>
  <c r="AL8" i="2"/>
  <c r="AL7" i="2"/>
  <c r="AO4" i="2"/>
  <c r="A42" i="1"/>
  <c r="E42" i="1" s="1"/>
  <c r="AM8" i="2" l="1"/>
  <c r="AM7" i="2"/>
  <c r="AM5" i="2"/>
  <c r="AP4" i="2"/>
  <c r="A43" i="1"/>
  <c r="E43" i="1" s="1"/>
  <c r="AN5" i="2" l="1"/>
  <c r="AN8" i="2"/>
  <c r="AN7" i="2"/>
  <c r="AQ4" i="2"/>
  <c r="A44" i="1"/>
  <c r="E44" i="1" s="1"/>
  <c r="AO8" i="2" l="1"/>
  <c r="AO5" i="2"/>
  <c r="AO7" i="2"/>
  <c r="AR4" i="2"/>
  <c r="A45" i="1"/>
  <c r="E45" i="1" s="1"/>
  <c r="AP5" i="2" l="1"/>
  <c r="AP7" i="2"/>
  <c r="AP8" i="2"/>
  <c r="AS4" i="2"/>
  <c r="A46" i="1"/>
  <c r="E46" i="1" s="1"/>
  <c r="AQ5" i="2" l="1"/>
  <c r="AQ8" i="2"/>
  <c r="AQ7" i="2"/>
  <c r="AT4" i="2"/>
  <c r="A47" i="1"/>
  <c r="E47" i="1" s="1"/>
  <c r="AR8" i="2" l="1"/>
  <c r="AR7" i="2"/>
  <c r="AR5" i="2"/>
  <c r="AU4" i="2"/>
  <c r="A48" i="1"/>
  <c r="E48" i="1" s="1"/>
  <c r="AS5" i="2" l="1"/>
  <c r="AS7" i="2"/>
  <c r="AS8" i="2"/>
  <c r="AV4" i="2"/>
  <c r="A49" i="1"/>
  <c r="E49" i="1" s="1"/>
  <c r="AT5" i="2" l="1"/>
  <c r="AT8" i="2"/>
  <c r="AT7" i="2"/>
  <c r="AW4" i="2"/>
  <c r="A50" i="1"/>
  <c r="E50" i="1" s="1"/>
  <c r="AU7" i="2" l="1"/>
  <c r="AU5" i="2"/>
  <c r="AU8" i="2"/>
  <c r="AX4" i="2"/>
  <c r="A51" i="1"/>
  <c r="E51" i="1" s="1"/>
  <c r="AV8" i="2" l="1"/>
  <c r="AV7" i="2"/>
  <c r="AV5" i="2"/>
  <c r="AY4" i="2"/>
  <c r="A52" i="1"/>
  <c r="E52" i="1" s="1"/>
  <c r="AW5" i="2" l="1"/>
  <c r="AW7" i="2"/>
  <c r="AW8" i="2"/>
  <c r="AZ4" i="2"/>
  <c r="A53" i="1"/>
  <c r="E53" i="1" s="1"/>
  <c r="AX8" i="2" l="1"/>
  <c r="AX5" i="2"/>
  <c r="AX7" i="2"/>
  <c r="BA4" i="2"/>
  <c r="A54" i="1"/>
  <c r="E54" i="1" s="1"/>
  <c r="AY5" i="2" l="1"/>
  <c r="AY8" i="2"/>
  <c r="AY7" i="2"/>
  <c r="BB4" i="2"/>
  <c r="A55" i="1"/>
  <c r="E55" i="1" s="1"/>
  <c r="AZ7" i="2" l="1"/>
  <c r="AZ5" i="2"/>
  <c r="AZ8" i="2"/>
  <c r="BC4" i="2"/>
  <c r="A56" i="1"/>
  <c r="E56" i="1" s="1"/>
  <c r="BA5" i="2" l="1"/>
  <c r="BA8" i="2"/>
  <c r="BA7" i="2"/>
  <c r="BD4" i="2"/>
  <c r="A57" i="1"/>
  <c r="E57" i="1" s="1"/>
  <c r="BB5" i="2" l="1"/>
  <c r="BB8" i="2"/>
  <c r="BB7" i="2"/>
  <c r="BE4" i="2"/>
  <c r="A58" i="1"/>
  <c r="E58" i="1" s="1"/>
  <c r="BC7" i="2" l="1"/>
  <c r="BC8" i="2"/>
  <c r="BC5" i="2"/>
  <c r="BF4" i="2"/>
  <c r="A59" i="1"/>
  <c r="E59" i="1" s="1"/>
  <c r="BD7" i="2" l="1"/>
  <c r="BD5" i="2"/>
  <c r="BD8" i="2"/>
  <c r="BG4" i="2"/>
  <c r="A60" i="1"/>
  <c r="E60" i="1" s="1"/>
  <c r="BE8" i="2" l="1"/>
  <c r="BE5" i="2"/>
  <c r="BE7" i="2"/>
  <c r="BH4" i="2"/>
  <c r="A61" i="1"/>
  <c r="E61" i="1" s="1"/>
  <c r="BF8" i="2" l="1"/>
  <c r="BF5" i="2"/>
  <c r="BF7" i="2"/>
  <c r="A62" i="1"/>
  <c r="E62" i="1" s="1"/>
  <c r="BG7" i="2" l="1"/>
  <c r="BG8" i="2"/>
  <c r="BG5" i="2"/>
  <c r="A63" i="1"/>
  <c r="E63" i="1" s="1"/>
  <c r="BH7" i="2" l="1"/>
  <c r="BH8" i="2"/>
  <c r="H6" i="2"/>
  <c r="P6" i="2"/>
  <c r="AB6" i="2"/>
  <c r="AC6" i="2"/>
  <c r="AT6" i="2"/>
  <c r="R6" i="2"/>
  <c r="AR6" i="2"/>
  <c r="N6" i="2"/>
  <c r="AD6" i="2"/>
  <c r="M6" i="2"/>
  <c r="AK6" i="2"/>
  <c r="O6" i="2"/>
  <c r="AZ6" i="2"/>
  <c r="I6" i="2"/>
  <c r="AX6" i="2"/>
  <c r="AY6" i="2"/>
  <c r="AP6" i="2"/>
  <c r="L6" i="2"/>
  <c r="X6" i="2"/>
  <c r="Q6" i="2"/>
  <c r="AE6" i="2"/>
  <c r="AI6" i="2"/>
  <c r="AN6" i="2"/>
  <c r="S6" i="2"/>
  <c r="BE6" i="2"/>
  <c r="BH6" i="2"/>
  <c r="AV6" i="2"/>
  <c r="AF6" i="2"/>
  <c r="BG6" i="2"/>
  <c r="W6" i="2"/>
  <c r="AM6" i="2"/>
  <c r="AQ6" i="2"/>
  <c r="AG6" i="2"/>
  <c r="BD6" i="2"/>
  <c r="BC6" i="2"/>
  <c r="AL6" i="2"/>
  <c r="V6" i="2"/>
  <c r="Z6" i="2"/>
  <c r="AH6" i="2"/>
  <c r="AJ6" i="2"/>
  <c r="AO6" i="2"/>
  <c r="Y6" i="2"/>
  <c r="AU6" i="2"/>
  <c r="T6" i="2"/>
  <c r="K6" i="2"/>
  <c r="BF6" i="2"/>
  <c r="BA6" i="2"/>
  <c r="AA6" i="2"/>
  <c r="U6" i="2"/>
  <c r="AS6" i="2"/>
  <c r="AW6" i="2"/>
  <c r="BB6" i="2"/>
  <c r="BH5" i="2"/>
</calcChain>
</file>

<file path=xl/sharedStrings.xml><?xml version="1.0" encoding="utf-8"?>
<sst xmlns="http://schemas.openxmlformats.org/spreadsheetml/2006/main" count="417" uniqueCount="332">
  <si>
    <t>S.No.</t>
  </si>
  <si>
    <t>Bar Code</t>
  </si>
  <si>
    <t>No of Pages</t>
  </si>
  <si>
    <t>Book Name</t>
  </si>
  <si>
    <t>Excel Updation</t>
  </si>
  <si>
    <t>THE LOVE LETTER</t>
  </si>
  <si>
    <t>DONATO &amp; DAUGHTER</t>
  </si>
  <si>
    <t>9780553586534</t>
  </si>
  <si>
    <t>TOM CLANCY WITHOUT REMORSE</t>
  </si>
  <si>
    <t>777506006996</t>
  </si>
  <si>
    <t>SANDRA BROWN ABOVE AND BEYOND</t>
  </si>
  <si>
    <t>CALL DOWN THE MOON</t>
  </si>
  <si>
    <t>9780061015731</t>
  </si>
  <si>
    <t>RED EYE</t>
  </si>
  <si>
    <t>PRESUMED INNOCENT</t>
  </si>
  <si>
    <t>PATRICA CORNWELL</t>
  </si>
  <si>
    <t>TOM CLANCY DEBT OF HONOR</t>
  </si>
  <si>
    <t>NO SAFE PLACE</t>
  </si>
  <si>
    <t>9780340551332</t>
  </si>
  <si>
    <t>VERTICAL RUN</t>
  </si>
  <si>
    <t>BLUEBEARDS EGG AND OTHER STORIES</t>
  </si>
  <si>
    <t>9780892817818</t>
  </si>
  <si>
    <t>GESUNDHEIT!</t>
  </si>
  <si>
    <t>9780312204099</t>
  </si>
  <si>
    <t>GAIN</t>
  </si>
  <si>
    <t>9781416592747</t>
  </si>
  <si>
    <t>9780849937040</t>
  </si>
  <si>
    <t>WOMEN ARE ALWAYS RIGHT AND MEN ARE NEVER WRONG</t>
  </si>
  <si>
    <t>9780671668334</t>
  </si>
  <si>
    <t>THE DIFFERENT DRUM</t>
  </si>
  <si>
    <t>9780349124537</t>
  </si>
  <si>
    <t>WHITE LIES, BLACK DARE</t>
  </si>
  <si>
    <t>9780316812474</t>
  </si>
  <si>
    <t>9780007503759</t>
  </si>
  <si>
    <t>DESTINED TO FEEL</t>
  </si>
  <si>
    <t>9780276429941</t>
  </si>
  <si>
    <t>OF LOVE AND LIFE</t>
  </si>
  <si>
    <t>9780781455879</t>
  </si>
  <si>
    <t>9780452279087</t>
  </si>
  <si>
    <t>THE WOMENLY ART OF BREASTFEEDING</t>
  </si>
  <si>
    <t>9780863182303</t>
  </si>
  <si>
    <t>FIRST AID MANUAL</t>
  </si>
  <si>
    <t>9780395574201</t>
  </si>
  <si>
    <t>RETURN OF THE RISHI</t>
  </si>
  <si>
    <t>9780224077835</t>
  </si>
  <si>
    <t>MY LIFE AND THE BEAUTIFUL MUSICAL</t>
  </si>
  <si>
    <t>9780008324216</t>
  </si>
  <si>
    <t>9781471401398</t>
  </si>
  <si>
    <t>THE VINCENT BROTHERS</t>
  </si>
  <si>
    <t>9781444735895</t>
  </si>
  <si>
    <t>THE COOK'S TALE</t>
  </si>
  <si>
    <t>9781447270874</t>
  </si>
  <si>
    <t>9780385315081</t>
  </si>
  <si>
    <t>BORDERLINERS</t>
  </si>
  <si>
    <t>JENNIFER ROBERSON SHAPECHANGER'S SONG</t>
  </si>
  <si>
    <t>9780425162446</t>
  </si>
  <si>
    <t>THE RAPTURE OF CANAAN</t>
  </si>
  <si>
    <t>9780778323532</t>
  </si>
  <si>
    <t>9780450586231</t>
  </si>
  <si>
    <t>CRIME SCENE INVESTIGATION</t>
  </si>
  <si>
    <t>9781407243276</t>
  </si>
  <si>
    <t>9781444757422</t>
  </si>
  <si>
    <t>9781471152368</t>
  </si>
  <si>
    <t>DRACULA BRAM STOKER</t>
  </si>
  <si>
    <t>JOHN SAUL NATHANIEL</t>
  </si>
  <si>
    <t>DAVID MORRELL THE TOTEM</t>
  </si>
  <si>
    <t>JONATHAN KELLERMAN THE CLINIC</t>
  </si>
  <si>
    <t>STELLA CAMERON A GRAVE MISTAKE</t>
  </si>
  <si>
    <t>ROBERT LUDLUM'S THE BOURNE IMPERATIVE</t>
  </si>
  <si>
    <t>JOHN GRISHAM A TIME TO KILL</t>
  </si>
  <si>
    <t>MARK HELPRIN WINTER'S TALE</t>
  </si>
  <si>
    <t>JEFFERY DEAVER SOLITUDE CREEK</t>
  </si>
  <si>
    <t>GLORIA STEINEM REVOLUTION FROM WITHIN</t>
  </si>
  <si>
    <t>ROAR CECELIA AHERN</t>
  </si>
  <si>
    <t>MAEVE BINCHY CIRCLE OF FRIENDS</t>
  </si>
  <si>
    <t>MICHAEL CRICHTON STATE OF FEAR</t>
  </si>
  <si>
    <t>THOM RACINA SECRET WEEKEND</t>
  </si>
  <si>
    <t>ROBERT LUDLUM THE ICARUS AGENDA</t>
  </si>
  <si>
    <t>DANIELLE STEEL THE RANCH</t>
  </si>
  <si>
    <t>JOHANSEN KILLER DREAMS</t>
  </si>
  <si>
    <t>Vendor Code</t>
  </si>
  <si>
    <t>File Location</t>
  </si>
  <si>
    <t>TSS_TN_744057</t>
  </si>
  <si>
    <t>273-276 CONTAINS EPILOGUE OF 1ST STORY</t>
  </si>
  <si>
    <t>No of Front Cover</t>
  </si>
  <si>
    <t>No of Back Cover</t>
  </si>
  <si>
    <t>INTRODUCTION</t>
  </si>
  <si>
    <t>1-8</t>
  </si>
  <si>
    <t>1-16</t>
  </si>
  <si>
    <t>1-22</t>
  </si>
  <si>
    <t>1-23</t>
  </si>
  <si>
    <t>1-6</t>
  </si>
  <si>
    <t>1-14</t>
  </si>
  <si>
    <t>1-11</t>
  </si>
  <si>
    <t>1-24</t>
  </si>
  <si>
    <t>1-12</t>
  </si>
  <si>
    <t>1-30</t>
  </si>
  <si>
    <t>1-4</t>
  </si>
  <si>
    <t>1-7</t>
  </si>
  <si>
    <t>1-10</t>
  </si>
  <si>
    <t>1-28</t>
  </si>
  <si>
    <t>1-18</t>
  </si>
  <si>
    <t>END</t>
  </si>
  <si>
    <t>1-2</t>
  </si>
  <si>
    <t>1-3</t>
  </si>
  <si>
    <t>1-21</t>
  </si>
  <si>
    <t>1-19</t>
  </si>
  <si>
    <t>1-52</t>
  </si>
  <si>
    <t>1-9</t>
  </si>
  <si>
    <t>419-423</t>
  </si>
  <si>
    <t>1-20</t>
  </si>
  <si>
    <t>337-346</t>
  </si>
  <si>
    <t>1-5</t>
  </si>
  <si>
    <t>1-61</t>
  </si>
  <si>
    <t>1-41</t>
  </si>
  <si>
    <t>286-294</t>
  </si>
  <si>
    <t>CHAPTER 1</t>
  </si>
  <si>
    <t>CHAPTER 2</t>
  </si>
  <si>
    <t>CHAPTER 3</t>
  </si>
  <si>
    <t>CHAPTER 4</t>
  </si>
  <si>
    <t>CHAPTER 5</t>
  </si>
  <si>
    <t>CHAPTER 6</t>
  </si>
  <si>
    <t>CHAPTER 7</t>
  </si>
  <si>
    <t>CHAPTER 8</t>
  </si>
  <si>
    <t>CHAPTER 9</t>
  </si>
  <si>
    <t>CHAPTER 10</t>
  </si>
  <si>
    <t>CHAPTER 11</t>
  </si>
  <si>
    <t>258-285</t>
  </si>
  <si>
    <t>CHAPTER 12</t>
  </si>
  <si>
    <t>300-323</t>
  </si>
  <si>
    <t>CHAPTER 13</t>
  </si>
  <si>
    <t>CHAPTER 14</t>
  </si>
  <si>
    <t>287-297</t>
  </si>
  <si>
    <t>213-218</t>
  </si>
  <si>
    <t>CHAPTER 15</t>
  </si>
  <si>
    <t>CHAPTER 16</t>
  </si>
  <si>
    <t>343-362</t>
  </si>
  <si>
    <t>CHAPTER 17</t>
  </si>
  <si>
    <t>325-350</t>
  </si>
  <si>
    <t>CHAPTER 18</t>
  </si>
  <si>
    <t>CHAPTER 19</t>
  </si>
  <si>
    <t>378-395</t>
  </si>
  <si>
    <t>CHAPTER 20</t>
  </si>
  <si>
    <t>339-352</t>
  </si>
  <si>
    <t>535-551</t>
  </si>
  <si>
    <t>244-259</t>
  </si>
  <si>
    <t>CHAPTER 21</t>
  </si>
  <si>
    <t>457-472</t>
  </si>
  <si>
    <t>CHAPTER 22</t>
  </si>
  <si>
    <t>CHAPTER 23</t>
  </si>
  <si>
    <t>CHAPTER 24</t>
  </si>
  <si>
    <t>CHAPTER 25</t>
  </si>
  <si>
    <t>CHAPTER 26</t>
  </si>
  <si>
    <t>373-374</t>
  </si>
  <si>
    <t>393-399</t>
  </si>
  <si>
    <t>CHAPTER 27</t>
  </si>
  <si>
    <t>410-421</t>
  </si>
  <si>
    <t>CHAPTER 28</t>
  </si>
  <si>
    <t>CHAPTER 29</t>
  </si>
  <si>
    <t>CHAPTER 30</t>
  </si>
  <si>
    <t>344-362</t>
  </si>
  <si>
    <t>327-337</t>
  </si>
  <si>
    <t>697-746</t>
  </si>
  <si>
    <t>416-432</t>
  </si>
  <si>
    <t>CHAPTER 31</t>
  </si>
  <si>
    <t>CHAPTER 32</t>
  </si>
  <si>
    <t>CHAPTER 33</t>
  </si>
  <si>
    <t>CHAPTER 34</t>
  </si>
  <si>
    <t>372-385</t>
  </si>
  <si>
    <t>CHAPTER 35</t>
  </si>
  <si>
    <t>CHAPTER 36</t>
  </si>
  <si>
    <t>CHAPTER 37</t>
  </si>
  <si>
    <t>724-748</t>
  </si>
  <si>
    <t>CHAPTER 38</t>
  </si>
  <si>
    <t>CHAPTER 39</t>
  </si>
  <si>
    <t>CHAPTER 40</t>
  </si>
  <si>
    <t>CHAPTER 41</t>
  </si>
  <si>
    <t>449-465</t>
  </si>
  <si>
    <t>491-503</t>
  </si>
  <si>
    <t>CHAPTER 42</t>
  </si>
  <si>
    <t>CHAPTER 43</t>
  </si>
  <si>
    <t>CHAPTER 44</t>
  </si>
  <si>
    <t>512-515</t>
  </si>
  <si>
    <t>CHAPTER 45</t>
  </si>
  <si>
    <t>CHAPTER 46</t>
  </si>
  <si>
    <t>667-678</t>
  </si>
  <si>
    <t>CHAPTER 47</t>
  </si>
  <si>
    <t>950-990</t>
  </si>
  <si>
    <t>CHAPTER 48</t>
  </si>
  <si>
    <t>CHAPTER 49</t>
  </si>
  <si>
    <t>CHAPTER 50</t>
  </si>
  <si>
    <t>CHAPTER 51</t>
  </si>
  <si>
    <t>CHAPTER 52</t>
  </si>
  <si>
    <t>CHAPTER 53</t>
  </si>
  <si>
    <t>CHAPTER 54</t>
  </si>
  <si>
    <t>596-603</t>
  </si>
  <si>
    <t>CHAPTER 55</t>
  </si>
  <si>
    <t>CHAPTER 56</t>
  </si>
  <si>
    <t>CHAPTER 57</t>
  </si>
  <si>
    <t>CHAPTER 58</t>
  </si>
  <si>
    <t>CHAPTER 59</t>
  </si>
  <si>
    <t>CHAPTER 60</t>
  </si>
  <si>
    <t>CHAPTER 61</t>
  </si>
  <si>
    <t>CHAPTER 62</t>
  </si>
  <si>
    <t>CHAPTER 63</t>
  </si>
  <si>
    <t>CHAPTER 64</t>
  </si>
  <si>
    <t>CHAPTER 65</t>
  </si>
  <si>
    <t>CHAPTER 66</t>
  </si>
  <si>
    <t>CHAPTER 67</t>
  </si>
  <si>
    <t>CHAPTER 68</t>
  </si>
  <si>
    <t>CHAPTER 69</t>
  </si>
  <si>
    <t>CHAPTER 70</t>
  </si>
  <si>
    <t>CHAPTER 71</t>
  </si>
  <si>
    <t>CHAPTER 72</t>
  </si>
  <si>
    <t>CHAPTER 73</t>
  </si>
  <si>
    <t>CHAPTER 74</t>
  </si>
  <si>
    <t>CHAPTER 75</t>
  </si>
  <si>
    <t>CHAPTER 76</t>
  </si>
  <si>
    <t>CHAPTER 77</t>
  </si>
  <si>
    <t>CHAPTER 78</t>
  </si>
  <si>
    <t>CHAPTER 79</t>
  </si>
  <si>
    <t>CHAPTER 80</t>
  </si>
  <si>
    <t>CHAPTER 81</t>
  </si>
  <si>
    <t>CHAPTER 82</t>
  </si>
  <si>
    <t>CHAPTER 83</t>
  </si>
  <si>
    <t>CHAPTER 84</t>
  </si>
  <si>
    <t>CHAPTER 85</t>
  </si>
  <si>
    <t>612-624</t>
  </si>
  <si>
    <t>CHAPTER 86</t>
  </si>
  <si>
    <t>CHAPTER 87</t>
  </si>
  <si>
    <t>CHAPTER 88</t>
  </si>
  <si>
    <t>CHAPTER 89</t>
  </si>
  <si>
    <t>CHAPTER 90</t>
  </si>
  <si>
    <t>CHAPTER 91</t>
  </si>
  <si>
    <t>CHAPTER 92</t>
  </si>
  <si>
    <t>551-560</t>
  </si>
  <si>
    <t>CHAPTER 93</t>
  </si>
  <si>
    <t>CHAPTER 94</t>
  </si>
  <si>
    <t>CHAPTER 95</t>
  </si>
  <si>
    <t>CHAPTER 96</t>
  </si>
  <si>
    <t>CHAPTER 97</t>
  </si>
  <si>
    <t>CHAPTER 98</t>
  </si>
  <si>
    <t>CHAPTER 99</t>
  </si>
  <si>
    <t>CHAPTER 100</t>
  </si>
  <si>
    <t>CONTENTS</t>
  </si>
  <si>
    <t>File Renaming</t>
  </si>
  <si>
    <t>Notes</t>
  </si>
  <si>
    <t>Scanning</t>
  </si>
  <si>
    <t>to check whether indexing is right?</t>
  </si>
  <si>
    <t>Remarks</t>
  </si>
  <si>
    <t>Scanned</t>
  </si>
  <si>
    <t>Running Chapters</t>
  </si>
  <si>
    <t>194-209</t>
  </si>
  <si>
    <t>SANDRA BROWN HELLO, DARKNESS</t>
  </si>
  <si>
    <t>399-404</t>
  </si>
  <si>
    <t>262-277</t>
  </si>
  <si>
    <t>1-320</t>
  </si>
  <si>
    <t>no chapters available</t>
  </si>
  <si>
    <t>1. No chapters availabe
2. Pages 89-94 recd in damaged condition</t>
  </si>
  <si>
    <t>1-42</t>
  </si>
  <si>
    <t>191-193</t>
  </si>
  <si>
    <t>Total Pages = 248 including post card</t>
  </si>
  <si>
    <t>247-255</t>
  </si>
  <si>
    <t>FAITH PARENTING PARENTS LIKE YOU CAN GROW FAITH KIDS</t>
  </si>
  <si>
    <t>153-157</t>
  </si>
  <si>
    <t>running chapters</t>
  </si>
  <si>
    <t>9-31</t>
  </si>
  <si>
    <t>31-49</t>
  </si>
  <si>
    <t>49-56</t>
  </si>
  <si>
    <t>57-63</t>
  </si>
  <si>
    <t>63-78</t>
  </si>
  <si>
    <t>79-95</t>
  </si>
  <si>
    <t>95-102</t>
  </si>
  <si>
    <t>102-110</t>
  </si>
  <si>
    <t>110-117</t>
  </si>
  <si>
    <t>118-129</t>
  </si>
  <si>
    <t>130-148</t>
  </si>
  <si>
    <t>148-188</t>
  </si>
  <si>
    <t>188-206</t>
  </si>
  <si>
    <t>206-207</t>
  </si>
  <si>
    <t>207-239</t>
  </si>
  <si>
    <t>239-252</t>
  </si>
  <si>
    <t>252-267</t>
  </si>
  <si>
    <t>267-315</t>
  </si>
  <si>
    <t>316-342</t>
  </si>
  <si>
    <t>342-366</t>
  </si>
  <si>
    <t>366-389</t>
  </si>
  <si>
    <t>390-415</t>
  </si>
  <si>
    <t>415-446</t>
  </si>
  <si>
    <t>446-472</t>
  </si>
  <si>
    <t>473-479</t>
  </si>
  <si>
    <t>2nd story chapter indexing to check</t>
  </si>
  <si>
    <t>198-225</t>
  </si>
  <si>
    <t>424-444</t>
  </si>
  <si>
    <t>445-472</t>
  </si>
  <si>
    <t>395-412</t>
  </si>
  <si>
    <t>1-54</t>
  </si>
  <si>
    <t>207-214</t>
  </si>
  <si>
    <t>215-224</t>
  </si>
  <si>
    <t>313-318</t>
  </si>
  <si>
    <t>3-355</t>
  </si>
  <si>
    <t>No Chapters available</t>
  </si>
  <si>
    <t>to check chapter indexing</t>
  </si>
  <si>
    <t>249-254</t>
  </si>
  <si>
    <t>JONATHAN KELLERMAN THE CONSPIRACY CLUB</t>
  </si>
  <si>
    <t>403-405</t>
  </si>
  <si>
    <t>STEPHEN KING GERALD'S GAME</t>
  </si>
  <si>
    <t>393-394</t>
  </si>
  <si>
    <t>ELMORE LEONARD MAXIMUM BOB</t>
  </si>
  <si>
    <t>315-326</t>
  </si>
  <si>
    <t>DAVID BALDACCI WISH YOU WELL</t>
  </si>
  <si>
    <t>360-365</t>
  </si>
  <si>
    <t>TOM CLANCY'S NET FORCE CHANGING THE GUARD</t>
  </si>
  <si>
    <t>1-17</t>
  </si>
  <si>
    <t>317-318</t>
  </si>
  <si>
    <t>THE STREET LAWYER JOHN GRISHAM</t>
  </si>
  <si>
    <t>443-449</t>
  </si>
  <si>
    <t>DANIELLE STEEL ACCIDENT</t>
  </si>
  <si>
    <t>420-439</t>
  </si>
  <si>
    <t>263-299</t>
  </si>
  <si>
    <t>DANIELLE STEEL THE WEDDING</t>
  </si>
  <si>
    <t>511-517</t>
  </si>
  <si>
    <t>JENNIFER BLAKE LOUISIANA DAWN</t>
  </si>
  <si>
    <t>350-374</t>
  </si>
  <si>
    <t>JOHN LESCROART THE HUNT CLUB</t>
  </si>
  <si>
    <t>499-512</t>
  </si>
  <si>
    <t>THE SHELL SEEKERS ROSAMUNDE PILCHER</t>
  </si>
  <si>
    <t>575-582</t>
  </si>
  <si>
    <t>E:\TSS_B1_16032022</t>
  </si>
  <si>
    <t xml:space="preserve">SCANNED Page nowise; </t>
  </si>
  <si>
    <t>SCANNED Page nowise; 
total 272 pages excluding front and back cover</t>
  </si>
  <si>
    <t>SCANNED Page nowise; 
90 degrees straight problem in few pages, tried several times but could not correct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</si>
</sst>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1" fillId="0" borderId="1" xfId="0" applyFont="1" applyBorder="1"/>
    <xf numFmtId="0" fontId="0" fillId="0" borderId="1" xfId="0" applyBorder="1"/>
    <xf numFmtId="3" fontId="1" fillId="3" borderId="1" xfId="0" applyNumberFormat="1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 wrapText="1"/>
    </xf>
    <xf numFmtId="0" fontId="0" fillId="0" borderId="1" xfId="0" quotePrefix="1" applyBorder="1" applyAlignment="1">
      <alignment horizontal="left" vertical="top" wrapText="1"/>
    </xf>
    <xf numFmtId="0" fontId="0" fillId="0" borderId="2" xfId="0" applyBorder="1" applyAlignment="1">
      <alignment vertical="top"/>
    </xf>
    <xf numFmtId="3" fontId="0" fillId="0" borderId="2" xfId="0" quotePrefix="1" applyNumberFormat="1" applyBorder="1"/>
    <xf numFmtId="0" fontId="0" fillId="0" borderId="2" xfId="0" quotePrefix="1" applyBorder="1" applyAlignment="1">
      <alignment vertical="top"/>
    </xf>
    <xf numFmtId="0" fontId="0" fillId="0" borderId="2" xfId="0" applyBorder="1"/>
    <xf numFmtId="17" fontId="0" fillId="0" borderId="2" xfId="0" quotePrefix="1" applyNumberFormat="1" applyBorder="1"/>
    <xf numFmtId="0" fontId="0" fillId="0" borderId="2" xfId="0" quotePrefix="1" applyBorder="1"/>
    <xf numFmtId="16" fontId="0" fillId="0" borderId="2" xfId="0" quotePrefix="1" applyNumberFormat="1" applyBorder="1"/>
    <xf numFmtId="0" fontId="1" fillId="3" borderId="1" xfId="0" applyFont="1" applyFill="1" applyBorder="1" applyAlignment="1">
      <alignment horizontal="left" vertical="center" wrapText="1"/>
    </xf>
    <xf numFmtId="0" fontId="0" fillId="5" borderId="1" xfId="0" applyFill="1" applyBorder="1" applyAlignment="1">
      <alignment vertical="top"/>
    </xf>
    <xf numFmtId="3" fontId="0" fillId="5" borderId="1" xfId="0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" fillId="3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33D6F-CD32-4F34-B6FE-A53CA106BE74}">
  <sheetPr codeName="Sheet2"/>
  <dimension ref="A1:BH112"/>
  <sheetViews>
    <sheetView showGridLines="0" tabSelected="1" workbookViewId="0">
      <pane xSplit="1" ySplit="8" topLeftCell="B9" activePane="bottomRight" state="frozen"/>
      <selection pane="topRight" activeCell="B1" sqref="B1"/>
      <selection pane="bottomLeft" activeCell="A8" sqref="A8"/>
      <selection pane="bottomRight" activeCell="B13" sqref="B13"/>
    </sheetView>
  </sheetViews>
  <sheetFormatPr defaultRowHeight="15" x14ac:dyDescent="0.25"/>
  <cols>
    <col min="1" max="1" width="20.7109375" customWidth="1"/>
    <col min="2" max="60" width="20.7109375" style="19" customWidth="1"/>
  </cols>
  <sheetData>
    <row r="1" spans="1:60" x14ac:dyDescent="0.25">
      <c r="A1" s="3" t="s">
        <v>80</v>
      </c>
      <c r="B1" s="3" t="s">
        <v>81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</row>
    <row r="2" spans="1:60" x14ac:dyDescent="0.25">
      <c r="A2" s="4" t="str">
        <f>Sheet1!A2</f>
        <v>TSS_TN_744057</v>
      </c>
      <c r="B2" s="4" t="str">
        <f>Sheet1!B2</f>
        <v>E:\TSS_B1_16032022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</row>
    <row r="3" spans="1:60" x14ac:dyDescent="0.25">
      <c r="A3" s="1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</row>
    <row r="4" spans="1:60" x14ac:dyDescent="0.25">
      <c r="A4" s="5" t="s">
        <v>0</v>
      </c>
      <c r="B4" s="25">
        <v>1</v>
      </c>
      <c r="C4" s="25">
        <f t="shared" ref="C4" si="0">+B4+1</f>
        <v>2</v>
      </c>
      <c r="D4" s="25">
        <f t="shared" ref="D4" si="1">+C4+1</f>
        <v>3</v>
      </c>
      <c r="E4" s="25">
        <f t="shared" ref="E4" si="2">+D4+1</f>
        <v>4</v>
      </c>
      <c r="F4" s="25">
        <f t="shared" ref="F4" si="3">+E4+1</f>
        <v>5</v>
      </c>
      <c r="G4" s="25">
        <f t="shared" ref="G4" si="4">+F4+1</f>
        <v>6</v>
      </c>
      <c r="H4" s="25">
        <f t="shared" ref="H4" si="5">+G4+1</f>
        <v>7</v>
      </c>
      <c r="I4" s="25">
        <f t="shared" ref="I4" si="6">+H4+1</f>
        <v>8</v>
      </c>
      <c r="J4" s="25">
        <f t="shared" ref="J4" si="7">+I4+1</f>
        <v>9</v>
      </c>
      <c r="K4" s="25">
        <f t="shared" ref="K4" si="8">+J4+1</f>
        <v>10</v>
      </c>
      <c r="L4" s="25">
        <f t="shared" ref="L4" si="9">+K4+1</f>
        <v>11</v>
      </c>
      <c r="M4" s="25">
        <f t="shared" ref="M4" si="10">+L4+1</f>
        <v>12</v>
      </c>
      <c r="N4" s="25">
        <f t="shared" ref="N4" si="11">+M4+1</f>
        <v>13</v>
      </c>
      <c r="O4" s="25">
        <f t="shared" ref="O4" si="12">+N4+1</f>
        <v>14</v>
      </c>
      <c r="P4" s="25">
        <f t="shared" ref="P4" si="13">+O4+1</f>
        <v>15</v>
      </c>
      <c r="Q4" s="25">
        <f t="shared" ref="Q4" si="14">+P4+1</f>
        <v>16</v>
      </c>
      <c r="R4" s="25">
        <f t="shared" ref="R4" si="15">+Q4+1</f>
        <v>17</v>
      </c>
      <c r="S4" s="25">
        <f t="shared" ref="S4" si="16">+R4+1</f>
        <v>18</v>
      </c>
      <c r="T4" s="25">
        <f t="shared" ref="T4" si="17">+S4+1</f>
        <v>19</v>
      </c>
      <c r="U4" s="25">
        <f t="shared" ref="U4" si="18">+T4+1</f>
        <v>20</v>
      </c>
      <c r="V4" s="25">
        <f t="shared" ref="V4" si="19">+U4+1</f>
        <v>21</v>
      </c>
      <c r="W4" s="25">
        <f t="shared" ref="W4" si="20">+V4+1</f>
        <v>22</v>
      </c>
      <c r="X4" s="25">
        <f t="shared" ref="X4" si="21">+W4+1</f>
        <v>23</v>
      </c>
      <c r="Y4" s="25">
        <f t="shared" ref="Y4" si="22">+X4+1</f>
        <v>24</v>
      </c>
      <c r="Z4" s="25">
        <f t="shared" ref="Z4" si="23">+Y4+1</f>
        <v>25</v>
      </c>
      <c r="AA4" s="25">
        <f t="shared" ref="AA4" si="24">+Z4+1</f>
        <v>26</v>
      </c>
      <c r="AB4" s="25">
        <f t="shared" ref="AB4" si="25">+AA4+1</f>
        <v>27</v>
      </c>
      <c r="AC4" s="25">
        <f t="shared" ref="AC4" si="26">+AB4+1</f>
        <v>28</v>
      </c>
      <c r="AD4" s="25">
        <f t="shared" ref="AD4" si="27">+AC4+1</f>
        <v>29</v>
      </c>
      <c r="AE4" s="25">
        <f t="shared" ref="AE4" si="28">+AD4+1</f>
        <v>30</v>
      </c>
      <c r="AF4" s="25">
        <f t="shared" ref="AF4" si="29">+AE4+1</f>
        <v>31</v>
      </c>
      <c r="AG4" s="25">
        <f t="shared" ref="AG4" si="30">+AF4+1</f>
        <v>32</v>
      </c>
      <c r="AH4" s="25">
        <f t="shared" ref="AH4" si="31">+AG4+1</f>
        <v>33</v>
      </c>
      <c r="AI4" s="25">
        <f t="shared" ref="AI4" si="32">+AH4+1</f>
        <v>34</v>
      </c>
      <c r="AJ4" s="25">
        <f t="shared" ref="AJ4" si="33">+AI4+1</f>
        <v>35</v>
      </c>
      <c r="AK4" s="25">
        <f t="shared" ref="AK4" si="34">+AJ4+1</f>
        <v>36</v>
      </c>
      <c r="AL4" s="25">
        <f t="shared" ref="AL4" si="35">+AK4+1</f>
        <v>37</v>
      </c>
      <c r="AM4" s="25">
        <f t="shared" ref="AM4" si="36">+AL4+1</f>
        <v>38</v>
      </c>
      <c r="AN4" s="25">
        <f t="shared" ref="AN4" si="37">+AM4+1</f>
        <v>39</v>
      </c>
      <c r="AO4" s="25">
        <f t="shared" ref="AO4" si="38">+AN4+1</f>
        <v>40</v>
      </c>
      <c r="AP4" s="25">
        <f t="shared" ref="AP4" si="39">+AO4+1</f>
        <v>41</v>
      </c>
      <c r="AQ4" s="25">
        <f t="shared" ref="AQ4" si="40">+AP4+1</f>
        <v>42</v>
      </c>
      <c r="AR4" s="25">
        <f t="shared" ref="AR4" si="41">+AQ4+1</f>
        <v>43</v>
      </c>
      <c r="AS4" s="25">
        <f t="shared" ref="AS4" si="42">+AR4+1</f>
        <v>44</v>
      </c>
      <c r="AT4" s="25">
        <f t="shared" ref="AT4" si="43">+AS4+1</f>
        <v>45</v>
      </c>
      <c r="AU4" s="25">
        <f t="shared" ref="AU4" si="44">+AT4+1</f>
        <v>46</v>
      </c>
      <c r="AV4" s="25">
        <f t="shared" ref="AV4" si="45">+AU4+1</f>
        <v>47</v>
      </c>
      <c r="AW4" s="25">
        <f t="shared" ref="AW4" si="46">+AV4+1</f>
        <v>48</v>
      </c>
      <c r="AX4" s="25">
        <f t="shared" ref="AX4" si="47">+AW4+1</f>
        <v>49</v>
      </c>
      <c r="AY4" s="25">
        <f t="shared" ref="AY4" si="48">+AX4+1</f>
        <v>50</v>
      </c>
      <c r="AZ4" s="25">
        <f t="shared" ref="AZ4" si="49">+AY4+1</f>
        <v>51</v>
      </c>
      <c r="BA4" s="25">
        <f t="shared" ref="BA4" si="50">+AZ4+1</f>
        <v>52</v>
      </c>
      <c r="BB4" s="25">
        <f t="shared" ref="BB4" si="51">+BA4+1</f>
        <v>53</v>
      </c>
      <c r="BC4" s="25">
        <f t="shared" ref="BC4" si="52">+BB4+1</f>
        <v>54</v>
      </c>
      <c r="BD4" s="25">
        <f t="shared" ref="BD4" si="53">+BC4+1</f>
        <v>55</v>
      </c>
      <c r="BE4" s="25">
        <f t="shared" ref="BE4" si="54">+BD4+1</f>
        <v>56</v>
      </c>
      <c r="BF4" s="25">
        <f t="shared" ref="BF4" si="55">+BE4+1</f>
        <v>57</v>
      </c>
      <c r="BG4" s="25">
        <f t="shared" ref="BG4" si="56">+BF4+1</f>
        <v>58</v>
      </c>
      <c r="BH4" s="25">
        <f t="shared" ref="BH4" si="57">+BG4+1</f>
        <v>59</v>
      </c>
    </row>
    <row r="5" spans="1:60" ht="60" x14ac:dyDescent="0.25">
      <c r="A5" s="23" t="s">
        <v>244</v>
      </c>
      <c r="B5" s="26" t="str">
        <f>VLOOKUP(B4,Sheet1!$A:$H,4,0)</f>
        <v>THE LOVE LETTER</v>
      </c>
      <c r="C5" s="26" t="str">
        <f>VLOOKUP(C4,Sheet1!$A:$D,4,0)</f>
        <v>DONATO &amp; DAUGHTER</v>
      </c>
      <c r="D5" s="26" t="str">
        <f>VLOOKUP(D4,Sheet1!$A:$D,4,0)</f>
        <v>DAVID MORRELL THE TOTEM</v>
      </c>
      <c r="E5" s="26" t="str">
        <f>VLOOKUP(E4,Sheet1!$A:$D,4,0)</f>
        <v>JOHANSEN KILLER DREAMS</v>
      </c>
      <c r="F5" s="26" t="str">
        <f>VLOOKUP(F4,Sheet1!$A:$D,4,0)</f>
        <v>TOM CLANCY WITHOUT REMORSE</v>
      </c>
      <c r="G5" s="26" t="str">
        <f>VLOOKUP(G4,Sheet1!$A:$D,4,0)</f>
        <v>SANDRA BROWN ABOVE AND BEYOND</v>
      </c>
      <c r="H5" s="26" t="str">
        <f>VLOOKUP(H4,Sheet1!$A:$D,4,0)</f>
        <v>CALL DOWN THE MOON</v>
      </c>
      <c r="I5" s="26" t="str">
        <f>VLOOKUP(I4,Sheet1!$A:$D,4,0)</f>
        <v>JONATHAN KELLERMAN THE CLINIC</v>
      </c>
      <c r="J5" s="26" t="str">
        <f>VLOOKUP(J4,Sheet1!$A:$D,4,0)</f>
        <v>MICHAEL CRICHTON STATE OF FEAR</v>
      </c>
      <c r="K5" s="26" t="str">
        <f>VLOOKUP(K4,Sheet1!$A:$D,4,0)</f>
        <v>THE SHELL SEEKERS ROSAMUNDE PILCHER</v>
      </c>
      <c r="L5" s="26" t="str">
        <f>VLOOKUP(L4,Sheet1!$A:$D,4,0)</f>
        <v>RED EYE</v>
      </c>
      <c r="M5" s="26" t="str">
        <f>VLOOKUP(M4,Sheet1!$A:$D,4,0)</f>
        <v>ELMORE LEONARD MAXIMUM BOB</v>
      </c>
      <c r="N5" s="26" t="str">
        <f>VLOOKUP(N4,Sheet1!$A:$D,4,0)</f>
        <v>THOM RACINA SECRET WEEKEND</v>
      </c>
      <c r="O5" s="26" t="str">
        <f>VLOOKUP(O4,Sheet1!$A:$D,4,0)</f>
        <v>TOM CLANCY'S NET FORCE CHANGING THE GUARD</v>
      </c>
      <c r="P5" s="26" t="str">
        <f>VLOOKUP(P4,Sheet1!$A:$D,4,0)</f>
        <v>PRESUMED INNOCENT</v>
      </c>
      <c r="Q5" s="26" t="str">
        <f>VLOOKUP(Q4,Sheet1!$A:$D,4,0)</f>
        <v>PATRICA CORNWELL</v>
      </c>
      <c r="R5" s="26" t="str">
        <f>VLOOKUP(R4,Sheet1!$A:$D,4,0)</f>
        <v>JOHN GRISHAM A TIME TO KILL</v>
      </c>
      <c r="S5" s="26" t="str">
        <f>VLOOKUP(S4,Sheet1!$A:$D,4,0)</f>
        <v>TOM CLANCY DEBT OF HONOR</v>
      </c>
      <c r="T5" s="26" t="str">
        <f>VLOOKUP(T4,Sheet1!$A:$D,4,0)</f>
        <v>NO SAFE PLACE</v>
      </c>
      <c r="U5" s="26" t="str">
        <f>VLOOKUP(U4,Sheet1!$A:$D,4,0)</f>
        <v>DANIELLE STEEL THE WEDDING</v>
      </c>
      <c r="V5" s="26" t="str">
        <f>VLOOKUP(V4,Sheet1!$A:$D,4,0)</f>
        <v>JOHN SAUL NATHANIEL</v>
      </c>
      <c r="W5" s="26" t="str">
        <f>VLOOKUP(W4,Sheet1!$A:$D,4,0)</f>
        <v>JENNIFER BLAKE LOUISIANA DAWN</v>
      </c>
      <c r="X5" s="26" t="str">
        <f>VLOOKUP(X4,Sheet1!$A:$D,4,0)</f>
        <v>THE STREET LAWYER JOHN GRISHAM</v>
      </c>
      <c r="Y5" s="26" t="str">
        <f>VLOOKUP(Y4,Sheet1!$A:$D,4,0)</f>
        <v>JOHN LESCROART THE HUNT CLUB</v>
      </c>
      <c r="Z5" s="26" t="str">
        <f>VLOOKUP(Z4,Sheet1!$A:$D,4,0)</f>
        <v>ROBERT LUDLUM THE ICARUS AGENDA</v>
      </c>
      <c r="AA5" s="26" t="str">
        <f>VLOOKUP(AA4,Sheet1!$A:$D,4,0)</f>
        <v>JONATHAN KELLERMAN THE CONSPIRACY CLUB</v>
      </c>
      <c r="AB5" s="26" t="str">
        <f>VLOOKUP(AB4,Sheet1!$A:$D,4,0)</f>
        <v>MAEVE BINCHY CIRCLE OF FRIENDS</v>
      </c>
      <c r="AC5" s="26" t="str">
        <f>VLOOKUP(AC4,Sheet1!$A:$D,4,0)</f>
        <v>VERTICAL RUN</v>
      </c>
      <c r="AD5" s="26" t="str">
        <f>VLOOKUP(AD4,Sheet1!$A:$D,4,0)</f>
        <v>BLUEBEARDS EGG AND OTHER STORIES</v>
      </c>
      <c r="AE5" s="26" t="str">
        <f>VLOOKUP(AE4,Sheet1!$A:$D,4,0)</f>
        <v>GESUNDHEIT!</v>
      </c>
      <c r="AF5" s="26" t="str">
        <f>VLOOKUP(AF4,Sheet1!$A:$D,4,0)</f>
        <v>GAIN</v>
      </c>
      <c r="AG5" s="26" t="str">
        <f>VLOOKUP(AG4,Sheet1!$A:$D,4,0)</f>
        <v>SANDRA BROWN HELLO, DARKNESS</v>
      </c>
      <c r="AH5" s="26" t="str">
        <f>VLOOKUP(AH4,Sheet1!$A:$D,4,0)</f>
        <v>WOMEN ARE ALWAYS RIGHT AND MEN ARE NEVER WRONG</v>
      </c>
      <c r="AI5" s="26" t="str">
        <f>VLOOKUP(AI4,Sheet1!$A:$D,4,0)</f>
        <v>THE DIFFERENT DRUM</v>
      </c>
      <c r="AJ5" s="26" t="str">
        <f>VLOOKUP(AJ4,Sheet1!$A:$D,4,0)</f>
        <v>WHITE LIES, BLACK DARE</v>
      </c>
      <c r="AK5" s="26" t="str">
        <f>VLOOKUP(AK4,Sheet1!$A:$D,4,0)</f>
        <v>GLORIA STEINEM REVOLUTION FROM WITHIN</v>
      </c>
      <c r="AL5" s="26" t="str">
        <f>VLOOKUP(AL4,Sheet1!$A:$D,4,0)</f>
        <v>DESTINED TO FEEL</v>
      </c>
      <c r="AM5" s="26" t="str">
        <f>VLOOKUP(AM4,Sheet1!$A:$D,4,0)</f>
        <v>OF LOVE AND LIFE</v>
      </c>
      <c r="AN5" s="26" t="str">
        <f>VLOOKUP(AN4,Sheet1!$A:$D,4,0)</f>
        <v>FAITH PARENTING PARENTS LIKE YOU CAN GROW FAITH KIDS</v>
      </c>
      <c r="AO5" s="26" t="str">
        <f>VLOOKUP(AO4,Sheet1!$A:$D,4,0)</f>
        <v>THE WOMENLY ART OF BREASTFEEDING</v>
      </c>
      <c r="AP5" s="26" t="str">
        <f>VLOOKUP(AP4,Sheet1!$A:$D,4,0)</f>
        <v>FIRST AID MANUAL</v>
      </c>
      <c r="AQ5" s="26" t="str">
        <f>VLOOKUP(AQ4,Sheet1!$A:$D,4,0)</f>
        <v>RETURN OF THE RISHI</v>
      </c>
      <c r="AR5" s="26" t="str">
        <f>VLOOKUP(AR4,Sheet1!$A:$D,4,0)</f>
        <v>MY LIFE AND THE BEAUTIFUL MUSICAL</v>
      </c>
      <c r="AS5" s="26" t="str">
        <f>VLOOKUP(AS4,Sheet1!$A:$D,4,0)</f>
        <v>ROAR CECELIA AHERN</v>
      </c>
      <c r="AT5" s="26" t="str">
        <f>VLOOKUP(AT4,Sheet1!$A:$D,4,0)</f>
        <v>DANIELLE STEEL ACCIDENT</v>
      </c>
      <c r="AU5" s="26" t="str">
        <f>VLOOKUP(AU4,Sheet1!$A:$D,4,0)</f>
        <v>THE VINCENT BROTHERS</v>
      </c>
      <c r="AV5" s="26" t="str">
        <f>VLOOKUP(AV4,Sheet1!$A:$D,4,0)</f>
        <v>THE COOK'S TALE</v>
      </c>
      <c r="AW5" s="26" t="str">
        <f>VLOOKUP(AW4,Sheet1!$A:$D,4,0)</f>
        <v>MARK HELPRIN WINTER'S TALE</v>
      </c>
      <c r="AX5" s="26" t="str">
        <f>VLOOKUP(AX4,Sheet1!$A:$D,4,0)</f>
        <v>BORDERLINERS</v>
      </c>
      <c r="AY5" s="26" t="str">
        <f>VLOOKUP(AY4,Sheet1!$A:$D,4,0)</f>
        <v>JENNIFER ROBERSON SHAPECHANGER'S SONG</v>
      </c>
      <c r="AZ5" s="26" t="str">
        <f>VLOOKUP(AZ4,Sheet1!$A:$D,4,0)</f>
        <v>THE RAPTURE OF CANAAN</v>
      </c>
      <c r="BA5" s="26" t="str">
        <f>VLOOKUP(BA4,Sheet1!$A:$D,4,0)</f>
        <v>STELLA CAMERON A GRAVE MISTAKE</v>
      </c>
      <c r="BB5" s="26" t="str">
        <f>VLOOKUP(BB4,Sheet1!$A:$D,4,0)</f>
        <v>DAVID BALDACCI WISH YOU WELL</v>
      </c>
      <c r="BC5" s="26" t="str">
        <f>VLOOKUP(BC4,Sheet1!$A:$D,4,0)</f>
        <v>STEPHEN KING GERALD'S GAME</v>
      </c>
      <c r="BD5" s="26" t="str">
        <f>VLOOKUP(BD4,Sheet1!$A:$D,4,0)</f>
        <v>CRIME SCENE INVESTIGATION</v>
      </c>
      <c r="BE5" s="26" t="str">
        <f>VLOOKUP(BE4,Sheet1!$A:$D,4,0)</f>
        <v>DANIELLE STEEL THE RANCH</v>
      </c>
      <c r="BF5" s="26" t="str">
        <f>VLOOKUP(BF4,Sheet1!$A:$D,4,0)</f>
        <v>ROBERT LUDLUM'S THE BOURNE IMPERATIVE</v>
      </c>
      <c r="BG5" s="26" t="str">
        <f>VLOOKUP(BG4,Sheet1!$A:$D,4,0)</f>
        <v>JEFFERY DEAVER SOLITUDE CREEK</v>
      </c>
      <c r="BH5" s="26" t="str">
        <f>VLOOKUP(BH4,Sheet1!$A:$D,4,0)</f>
        <v>DRACULA BRAM STOKER</v>
      </c>
    </row>
    <row r="6" spans="1:60" x14ac:dyDescent="0.25">
      <c r="A6" s="6" t="s">
        <v>246</v>
      </c>
      <c r="B6" s="24">
        <f>VLOOKUP(B4,Sheet1!$A:$H,8,0)</f>
        <v>0</v>
      </c>
      <c r="C6" s="24">
        <f>VLOOKUP(C4,Sheet1!$A:$H,8,0)</f>
        <v>0</v>
      </c>
      <c r="D6" s="24">
        <f>VLOOKUP(D4,Sheet1!$A:$H,8,0)</f>
        <v>0</v>
      </c>
      <c r="E6" s="24">
        <f>VLOOKUP(E4,Sheet1!$A:$H,8,0)</f>
        <v>0</v>
      </c>
      <c r="F6" s="24">
        <f>VLOOKUP(F4,Sheet1!$A:$H,8,0)</f>
        <v>0</v>
      </c>
      <c r="G6" s="24">
        <f>VLOOKUP(G4,Sheet1!$A:$H,8,0)</f>
        <v>0</v>
      </c>
      <c r="H6" s="24">
        <f>VLOOKUP(H4,Sheet1!$A:$H,8,0)</f>
        <v>0</v>
      </c>
      <c r="I6" s="24">
        <f>VLOOKUP(I4,Sheet1!$A:$H,8,0)</f>
        <v>0</v>
      </c>
      <c r="J6" s="24">
        <f>VLOOKUP(J4,Sheet1!$A:$H,8,0)</f>
        <v>0</v>
      </c>
      <c r="K6" s="24">
        <f>VLOOKUP(K4,Sheet1!$A:$H,8,0)</f>
        <v>0</v>
      </c>
      <c r="L6" s="24">
        <f>VLOOKUP(L4,Sheet1!$A:$H,8,0)</f>
        <v>0</v>
      </c>
      <c r="M6" s="24">
        <f>VLOOKUP(M4,Sheet1!$A:$H,8,0)</f>
        <v>0</v>
      </c>
      <c r="N6" s="24">
        <f>VLOOKUP(N4,Sheet1!$A:$H,8,0)</f>
        <v>0</v>
      </c>
      <c r="O6" s="24">
        <f>VLOOKUP(O4,Sheet1!$A:$H,8,0)</f>
        <v>0</v>
      </c>
      <c r="P6" s="24">
        <f>VLOOKUP(P4,Sheet1!$A:$H,8,0)</f>
        <v>0</v>
      </c>
      <c r="Q6" s="24">
        <f>VLOOKUP(Q4,Sheet1!$A:$H,8,0)</f>
        <v>0</v>
      </c>
      <c r="R6" s="24">
        <f>VLOOKUP(R4,Sheet1!$A:$H,8,0)</f>
        <v>0</v>
      </c>
      <c r="S6" s="24">
        <f>VLOOKUP(S4,Sheet1!$A:$H,8,0)</f>
        <v>0</v>
      </c>
      <c r="T6" s="24">
        <f>VLOOKUP(T4,Sheet1!$A:$H,8,0)</f>
        <v>0</v>
      </c>
      <c r="U6" s="24">
        <f>VLOOKUP(U4,Sheet1!$A:$H,8,0)</f>
        <v>0</v>
      </c>
      <c r="V6" s="24">
        <f>VLOOKUP(V4,Sheet1!$A:$H,8,0)</f>
        <v>0</v>
      </c>
      <c r="W6" s="24">
        <f>VLOOKUP(W4,Sheet1!$A:$H,8,0)</f>
        <v>0</v>
      </c>
      <c r="X6" s="24">
        <f>VLOOKUP(X4,Sheet1!$A:$H,8,0)</f>
        <v>0</v>
      </c>
      <c r="Y6" s="24">
        <f>VLOOKUP(Y4,Sheet1!$A:$H,8,0)</f>
        <v>0</v>
      </c>
      <c r="Z6" s="24" t="str">
        <f>VLOOKUP(Z4,Sheet1!$A:$H,8,0)</f>
        <v>Running Chapters</v>
      </c>
      <c r="AA6" s="24">
        <f>VLOOKUP(AA4,Sheet1!$A:$H,8,0)</f>
        <v>0</v>
      </c>
      <c r="AB6" s="24">
        <f>VLOOKUP(AB4,Sheet1!$A:$H,8,0)</f>
        <v>0</v>
      </c>
      <c r="AC6" s="24">
        <f>VLOOKUP(AC4,Sheet1!$A:$H,8,0)</f>
        <v>0</v>
      </c>
      <c r="AD6" s="24">
        <f>VLOOKUP(AD4,Sheet1!$A:$H,8,0)</f>
        <v>0</v>
      </c>
      <c r="AE6" s="24" t="str">
        <f>VLOOKUP(AE4,Sheet1!$A:$H,8,0)</f>
        <v>Total Pages = 248 including post card</v>
      </c>
      <c r="AF6" s="24" t="str">
        <f>VLOOKUP(AF4,Sheet1!$A:$H,8,0)</f>
        <v>No Chapters available</v>
      </c>
      <c r="AG6" s="24">
        <f>VLOOKUP(AG4,Sheet1!$A:$H,8,0)</f>
        <v>0</v>
      </c>
      <c r="AH6" s="24">
        <f>VLOOKUP(AH4,Sheet1!$A:$H,8,0)</f>
        <v>0</v>
      </c>
      <c r="AI6" s="24">
        <f>VLOOKUP(AI4,Sheet1!$A:$H,8,0)</f>
        <v>0</v>
      </c>
      <c r="AJ6" s="24">
        <f>VLOOKUP(AJ4,Sheet1!$A:$H,8,0)</f>
        <v>0</v>
      </c>
      <c r="AK6" s="24">
        <f>VLOOKUP(AK4,Sheet1!$A:$H,8,0)</f>
        <v>0</v>
      </c>
      <c r="AL6" s="24">
        <f>VLOOKUP(AL4,Sheet1!$A:$H,8,0)</f>
        <v>0</v>
      </c>
      <c r="AM6" s="24" t="str">
        <f>VLOOKUP(AM4,Sheet1!$A:$H,8,0)</f>
        <v>running chapters</v>
      </c>
      <c r="AN6" s="24">
        <f>VLOOKUP(AN4,Sheet1!$A:$H,8,0)</f>
        <v>0</v>
      </c>
      <c r="AO6" s="24">
        <f>VLOOKUP(AO4,Sheet1!$A:$H,8,0)</f>
        <v>0</v>
      </c>
      <c r="AP6" s="24">
        <f>VLOOKUP(AP4,Sheet1!$A:$H,8,0)</f>
        <v>0</v>
      </c>
      <c r="AQ6" s="24">
        <f>VLOOKUP(AQ4,Sheet1!$A:$H,8,0)</f>
        <v>0</v>
      </c>
      <c r="AR6" s="24">
        <f>VLOOKUP(AR4,Sheet1!$A:$H,8,0)</f>
        <v>0</v>
      </c>
      <c r="AS6" s="24">
        <f>VLOOKUP(AS4,Sheet1!$A:$H,8,0)</f>
        <v>0</v>
      </c>
      <c r="AT6" s="24">
        <f>VLOOKUP(AT4,Sheet1!$A:$H,8,0)</f>
        <v>0</v>
      </c>
      <c r="AU6" s="24">
        <f>VLOOKUP(AU4,Sheet1!$A:$H,8,0)</f>
        <v>0</v>
      </c>
      <c r="AV6" s="24">
        <f>VLOOKUP(AV4,Sheet1!$A:$H,8,0)</f>
        <v>0</v>
      </c>
      <c r="AW6" s="24">
        <f>VLOOKUP(AW4,Sheet1!$A:$H,8,0)</f>
        <v>0</v>
      </c>
      <c r="AX6" s="24">
        <f>VLOOKUP(AX4,Sheet1!$A:$H,8,0)</f>
        <v>0</v>
      </c>
      <c r="AY6" s="24">
        <f>VLOOKUP(AY4,Sheet1!$A:$H,8,0)</f>
        <v>0</v>
      </c>
      <c r="AZ6" s="24" t="str">
        <f>VLOOKUP(AZ4,Sheet1!$A:$H,8,0)</f>
        <v>1. No chapters availabe
2. Pages 89-94 recd in damaged condition</v>
      </c>
      <c r="BA6" s="24">
        <f>VLOOKUP(BA4,Sheet1!$A:$H,8,0)</f>
        <v>0</v>
      </c>
      <c r="BB6" s="24">
        <f>VLOOKUP(BB4,Sheet1!$A:$H,8,0)</f>
        <v>0</v>
      </c>
      <c r="BC6" s="24">
        <f>VLOOKUP(BC4,Sheet1!$A:$H,8,0)</f>
        <v>0</v>
      </c>
      <c r="BD6" s="24">
        <f>VLOOKUP(BD4,Sheet1!$A:$H,8,0)</f>
        <v>0</v>
      </c>
      <c r="BE6" s="24">
        <f>VLOOKUP(BE4,Sheet1!$A:$H,8,0)</f>
        <v>0</v>
      </c>
      <c r="BF6" s="24">
        <f>VLOOKUP(BF4,Sheet1!$A:$H,8,0)</f>
        <v>0</v>
      </c>
      <c r="BG6" s="24">
        <f>VLOOKUP(BG4,Sheet1!$A:$H,8,0)</f>
        <v>0</v>
      </c>
      <c r="BH6" s="24">
        <f>VLOOKUP(BH4,Sheet1!$A:$H,8,0)</f>
        <v>0</v>
      </c>
    </row>
    <row r="7" spans="1:60" x14ac:dyDescent="0.25">
      <c r="A7" s="6" t="s">
        <v>1</v>
      </c>
      <c r="B7" s="24">
        <f>VLOOKUP(B4,Sheet1!$A:$D,2,0)</f>
        <v>71162006995</v>
      </c>
      <c r="C7" s="24">
        <f>VLOOKUP(C4,Sheet1!$A:$D,2,0)</f>
        <v>71162004953</v>
      </c>
      <c r="D7" s="24">
        <f>VLOOKUP(D4,Sheet1!$A:$D,2,0)</f>
        <v>70993006501</v>
      </c>
      <c r="E7" s="24" t="str">
        <f>VLOOKUP(E4,Sheet1!$A:$D,2,0)</f>
        <v>9780553586534</v>
      </c>
      <c r="F7" s="24">
        <f>VLOOKUP(F4,Sheet1!$A:$D,2,0)</f>
        <v>71831007506</v>
      </c>
      <c r="G7" s="24" t="str">
        <f>VLOOKUP(G4,Sheet1!$A:$D,2,0)</f>
        <v>777506006996</v>
      </c>
      <c r="H7" s="24">
        <f>VLOOKUP(H4,Sheet1!$A:$D,2,0)</f>
        <v>71009005990</v>
      </c>
      <c r="I7" s="24">
        <f>VLOOKUP(I4,Sheet1!$A:$D,2,0)</f>
        <v>76783006997</v>
      </c>
      <c r="J7" s="24" t="str">
        <f>VLOOKUP(J4,Sheet1!$A:$D,2,0)</f>
        <v>9780061015731</v>
      </c>
      <c r="K7" s="24">
        <f>VLOOKUP(K4,Sheet1!$A:$D,2,0)</f>
        <v>71009005952</v>
      </c>
      <c r="L7" s="24">
        <f>VLOOKUP(L4,Sheet1!$A:$D,2,0)</f>
        <v>76783004955</v>
      </c>
      <c r="M7" s="24">
        <f>VLOOKUP(M4,Sheet1!$A:$D,2,0)</f>
        <v>21218</v>
      </c>
      <c r="N7" s="24">
        <f>VLOOKUP(N4,Sheet1!$A:$D,2,0)</f>
        <v>19705</v>
      </c>
      <c r="O7" s="24">
        <f>VLOOKUP(O4,Sheet1!$A:$D,2,0)</f>
        <v>71831007995</v>
      </c>
      <c r="P7" s="24">
        <f>VLOOKUP(P4,Sheet1!$A:$D,2,0)</f>
        <v>70993005955</v>
      </c>
      <c r="Q7" s="24">
        <f>VLOOKUP(Q4,Sheet1!$A:$D,2,0)</f>
        <v>71831006998</v>
      </c>
      <c r="R7" s="24">
        <f>VLOOKUP(R4,Sheet1!$A:$D,2,0)</f>
        <v>71009006997</v>
      </c>
      <c r="S7" s="24">
        <f>VLOOKUP(S4,Sheet1!$A:$D,2,0)</f>
        <v>14758</v>
      </c>
      <c r="T7" s="24">
        <f>VLOOKUP(T4,Sheet1!$A:$D,2,0)</f>
        <v>65373002754</v>
      </c>
      <c r="U7" s="24">
        <f>VLOOKUP(U4,Sheet1!$A:$D,2,0)</f>
        <v>71009007994</v>
      </c>
      <c r="V7" s="24">
        <f>VLOOKUP(V4,Sheet1!$A:$D,2,0)</f>
        <v>76783004504</v>
      </c>
      <c r="W7" s="24">
        <f>VLOOKUP(W4,Sheet1!$A:$D,2,0)</f>
        <v>27778004993</v>
      </c>
      <c r="X7" s="24">
        <f>VLOOKUP(X4,Sheet1!$A:$D,2,0)</f>
        <v>22570</v>
      </c>
      <c r="Y7" s="24">
        <f>VLOOKUP(Y4,Sheet1!$A:$D,2,0)</f>
        <v>71162009996</v>
      </c>
      <c r="Z7" s="24">
        <f>VLOOKUP(Z4,Sheet1!$A:$D,2,0)</f>
        <v>76783005952</v>
      </c>
      <c r="AA7" s="24">
        <f>VLOOKUP(AA4,Sheet1!$A:$D,2,0)</f>
        <v>50694007991</v>
      </c>
      <c r="AB7" s="24" t="str">
        <f>VLOOKUP(AB4,Sheet1!$A:$D,2,0)</f>
        <v>9780340551332</v>
      </c>
      <c r="AC7" s="24">
        <f>VLOOKUP(AC4,Sheet1!$A:$D,2,0)</f>
        <v>76783006508</v>
      </c>
      <c r="AD7" s="24">
        <f>VLOOKUP(AD4,Sheet1!$A:$D,2,0)</f>
        <v>27778004955</v>
      </c>
      <c r="AE7" s="24" t="str">
        <f>VLOOKUP(AE4,Sheet1!$A:$D,2,0)</f>
        <v>9780892817818</v>
      </c>
      <c r="AF7" s="24" t="str">
        <f>VLOOKUP(AF4,Sheet1!$A:$D,2,0)</f>
        <v>9780312204099</v>
      </c>
      <c r="AG7" s="24" t="str">
        <f>VLOOKUP(AG4,Sheet1!$A:$D,2,0)</f>
        <v>9781416592747</v>
      </c>
      <c r="AH7" s="24" t="str">
        <f>VLOOKUP(AH4,Sheet1!$A:$D,2,0)</f>
        <v>9780849937040</v>
      </c>
      <c r="AI7" s="24" t="str">
        <f>VLOOKUP(AI4,Sheet1!$A:$D,2,0)</f>
        <v>9780671668334</v>
      </c>
      <c r="AJ7" s="24" t="str">
        <f>VLOOKUP(AJ4,Sheet1!$A:$D,2,0)</f>
        <v>9780349124537</v>
      </c>
      <c r="AK7" s="24" t="str">
        <f>VLOOKUP(AK4,Sheet1!$A:$D,2,0)</f>
        <v>9780316812474</v>
      </c>
      <c r="AL7" s="24" t="str">
        <f>VLOOKUP(AL4,Sheet1!$A:$D,2,0)</f>
        <v>9780007503759</v>
      </c>
      <c r="AM7" s="24" t="str">
        <f>VLOOKUP(AM4,Sheet1!$A:$D,2,0)</f>
        <v>9780276429941</v>
      </c>
      <c r="AN7" s="24" t="str">
        <f>VLOOKUP(AN4,Sheet1!$A:$D,2,0)</f>
        <v>9780781455879</v>
      </c>
      <c r="AO7" s="24" t="str">
        <f>VLOOKUP(AO4,Sheet1!$A:$D,2,0)</f>
        <v>9780452279087</v>
      </c>
      <c r="AP7" s="24" t="str">
        <f>VLOOKUP(AP4,Sheet1!$A:$D,2,0)</f>
        <v>9780863182303</v>
      </c>
      <c r="AQ7" s="24" t="str">
        <f>VLOOKUP(AQ4,Sheet1!$A:$D,2,0)</f>
        <v>9780395574201</v>
      </c>
      <c r="AR7" s="24" t="str">
        <f>VLOOKUP(AR4,Sheet1!$A:$D,2,0)</f>
        <v>9780224077835</v>
      </c>
      <c r="AS7" s="24" t="str">
        <f>VLOOKUP(AS4,Sheet1!$A:$D,2,0)</f>
        <v>9780008324216</v>
      </c>
      <c r="AT7" s="24">
        <f>VLOOKUP(AT4,Sheet1!$A:$D,2,0)</f>
        <v>21754</v>
      </c>
      <c r="AU7" s="24" t="str">
        <f>VLOOKUP(AU4,Sheet1!$A:$D,2,0)</f>
        <v>9781471401398</v>
      </c>
      <c r="AV7" s="24" t="str">
        <f>VLOOKUP(AV4,Sheet1!$A:$D,2,0)</f>
        <v>9781444735895</v>
      </c>
      <c r="AW7" s="24" t="str">
        <f>VLOOKUP(AW4,Sheet1!$A:$D,2,0)</f>
        <v>9781447270874</v>
      </c>
      <c r="AX7" s="24" t="str">
        <f>VLOOKUP(AX4,Sheet1!$A:$D,2,0)</f>
        <v>9780385315081</v>
      </c>
      <c r="AY7" s="24">
        <f>VLOOKUP(AY4,Sheet1!$A:$D,2,0)</f>
        <v>71125007991</v>
      </c>
      <c r="AZ7" s="24" t="str">
        <f>VLOOKUP(AZ4,Sheet1!$A:$D,2,0)</f>
        <v>9780425162446</v>
      </c>
      <c r="BA7" s="24" t="str">
        <f>VLOOKUP(BA4,Sheet1!$A:$D,2,0)</f>
        <v>9780778323532</v>
      </c>
      <c r="BB7" s="24">
        <f>VLOOKUP(BB4,Sheet1!$A:$D,2,0)</f>
        <v>70993007997</v>
      </c>
      <c r="BC7" s="24" t="str">
        <f>VLOOKUP(BC4,Sheet1!$A:$D,2,0)</f>
        <v>9780450586231</v>
      </c>
      <c r="BD7" s="24">
        <f>VLOOKUP(BD4,Sheet1!$A:$D,2,0)</f>
        <v>76714006997</v>
      </c>
      <c r="BE7" s="24">
        <f>VLOOKUP(BE4,Sheet1!$A:$D,2,0)</f>
        <v>71009007505</v>
      </c>
      <c r="BF7" s="24" t="str">
        <f>VLOOKUP(BF4,Sheet1!$A:$D,2,0)</f>
        <v>9781407243276</v>
      </c>
      <c r="BG7" s="24" t="str">
        <f>VLOOKUP(BG4,Sheet1!$A:$D,2,0)</f>
        <v>9781444757422</v>
      </c>
      <c r="BH7" s="24" t="str">
        <f>VLOOKUP(BH4,Sheet1!$A:$D,2,0)</f>
        <v>9781471152368</v>
      </c>
    </row>
    <row r="8" spans="1:60" x14ac:dyDescent="0.25">
      <c r="A8" s="6" t="s">
        <v>2</v>
      </c>
      <c r="B8" s="24">
        <f>VLOOKUP(B4,Sheet1!$A:$D,3,0)</f>
        <v>368</v>
      </c>
      <c r="C8" s="24">
        <f>VLOOKUP(C4,Sheet1!$A:$D,3,0)</f>
        <v>384</v>
      </c>
      <c r="D8" s="24">
        <f>VLOOKUP(D4,Sheet1!$A:$D,3,0)</f>
        <v>384</v>
      </c>
      <c r="E8" s="24">
        <f>VLOOKUP(E4,Sheet1!$A:$D,3,0)</f>
        <v>432</v>
      </c>
      <c r="F8" s="24">
        <f>VLOOKUP(F4,Sheet1!$A:$D,3,0)</f>
        <v>768</v>
      </c>
      <c r="G8" s="24">
        <f>VLOOKUP(G4,Sheet1!$A:$D,3,0)</f>
        <v>304</v>
      </c>
      <c r="H8" s="24">
        <f>VLOOKUP(H4,Sheet1!$A:$D,3,0)</f>
        <v>432</v>
      </c>
      <c r="I8" s="24">
        <f>VLOOKUP(I4,Sheet1!$A:$D,3,0)</f>
        <v>496</v>
      </c>
      <c r="J8" s="24">
        <f>VLOOKUP(J4,Sheet1!$A:$D,3,0)</f>
        <v>688</v>
      </c>
      <c r="K8" s="24">
        <f>VLOOKUP(K4,Sheet1!$A:$D,3,0)</f>
        <v>592</v>
      </c>
      <c r="L8" s="24">
        <f>VLOOKUP(L4,Sheet1!$A:$D,3,0)</f>
        <v>400</v>
      </c>
      <c r="M8" s="24">
        <f>VLOOKUP(M4,Sheet1!$A:$D,3,0)</f>
        <v>352</v>
      </c>
      <c r="N8" s="24">
        <f>VLOOKUP(N4,Sheet1!$A:$D,3,0)</f>
        <v>416</v>
      </c>
      <c r="O8" s="24">
        <f>VLOOKUP(O4,Sheet1!$A:$D,3,0)</f>
        <v>336</v>
      </c>
      <c r="P8" s="24">
        <f>VLOOKUP(P4,Sheet1!$A:$D,3,0)</f>
        <v>432</v>
      </c>
      <c r="Q8" s="24">
        <f>VLOOKUP(Q4,Sheet1!$A:$D,3,0)</f>
        <v>384</v>
      </c>
      <c r="R8" s="24">
        <f>VLOOKUP(R4,Sheet1!$A:$D,3,0)</f>
        <v>528</v>
      </c>
      <c r="S8" s="24">
        <f>VLOOKUP(S4,Sheet1!$A:$D,3,0)</f>
        <v>1008</v>
      </c>
      <c r="T8" s="24">
        <f>VLOOKUP(T4,Sheet1!$A:$D,3,0)</f>
        <v>224</v>
      </c>
      <c r="U8" s="24">
        <f>VLOOKUP(U4,Sheet1!$A:$D,3,0)</f>
        <v>528</v>
      </c>
      <c r="V8" s="24">
        <f>VLOOKUP(V4,Sheet1!$A:$D,3,0)</f>
        <v>352</v>
      </c>
      <c r="W8" s="24">
        <f>VLOOKUP(W4,Sheet1!$A:$D,3,0)</f>
        <v>384</v>
      </c>
      <c r="X8" s="24">
        <f>VLOOKUP(X4,Sheet1!$A:$D,3,0)</f>
        <v>464</v>
      </c>
      <c r="Y8" s="24">
        <f>VLOOKUP(Y4,Sheet1!$A:$D,3,0)</f>
        <v>544</v>
      </c>
      <c r="Z8" s="24">
        <f>VLOOKUP(Z4,Sheet1!$A:$D,3,0)</f>
        <v>686</v>
      </c>
      <c r="AA8" s="24">
        <f>VLOOKUP(AA4,Sheet1!$A:$D,3,0)</f>
        <v>496</v>
      </c>
      <c r="AB8" s="24">
        <f>VLOOKUP(AB4,Sheet1!$A:$D,3,0)</f>
        <v>560</v>
      </c>
      <c r="AC8" s="24">
        <f>VLOOKUP(AC4,Sheet1!$A:$D,3,0)</f>
        <v>320</v>
      </c>
      <c r="AD8" s="24">
        <f>VLOOKUP(AD4,Sheet1!$A:$D,3,0)</f>
        <v>336</v>
      </c>
      <c r="AE8" s="24">
        <f>VLOOKUP(AE4,Sheet1!$A:$D,3,0)</f>
        <v>246</v>
      </c>
      <c r="AF8" s="24">
        <f>VLOOKUP(AF4,Sheet1!$A:$D,3,0)</f>
        <v>366</v>
      </c>
      <c r="AG8" s="24">
        <f>VLOOKUP(AG4,Sheet1!$A:$D,3,0)</f>
        <v>432</v>
      </c>
      <c r="AH8" s="24">
        <f>VLOOKUP(AH4,Sheet1!$A:$D,3,0)</f>
        <v>266</v>
      </c>
      <c r="AI8" s="24">
        <f>VLOOKUP(AI4,Sheet1!$A:$D,3,0)</f>
        <v>336</v>
      </c>
      <c r="AJ8" s="24">
        <f>VLOOKUP(AJ4,Sheet1!$A:$D,3,0)</f>
        <v>270</v>
      </c>
      <c r="AK8" s="24">
        <f>VLOOKUP(AK4,Sheet1!$A:$D,3,0)</f>
        <v>432</v>
      </c>
      <c r="AL8" s="24">
        <f>VLOOKUP(AL4,Sheet1!$A:$D,3,0)</f>
        <v>336</v>
      </c>
      <c r="AM8" s="24">
        <f>VLOOKUP(AM4,Sheet1!$A:$D,3,0)</f>
        <v>480</v>
      </c>
      <c r="AN8" s="24">
        <f>VLOOKUP(AN4,Sheet1!$A:$D,3,0)</f>
        <v>158</v>
      </c>
      <c r="AO8" s="24">
        <f>VLOOKUP(AO4,Sheet1!$A:$D,3,0)</f>
        <v>480</v>
      </c>
      <c r="AP8" s="24">
        <f>VLOOKUP(AP4,Sheet1!$A:$D,3,0)</f>
        <v>224</v>
      </c>
      <c r="AQ8" s="24">
        <f>VLOOKUP(AQ4,Sheet1!$A:$D,3,0)</f>
        <v>224</v>
      </c>
      <c r="AR8" s="24">
        <f>VLOOKUP(AR4,Sheet1!$A:$D,3,0)</f>
        <v>256</v>
      </c>
      <c r="AS8" s="24">
        <f>VLOOKUP(AS4,Sheet1!$A:$D,3,0)</f>
        <v>352</v>
      </c>
      <c r="AT8" s="24">
        <f>VLOOKUP(AT4,Sheet1!$A:$D,3,0)</f>
        <v>448</v>
      </c>
      <c r="AU8" s="24">
        <f>VLOOKUP(AU4,Sheet1!$A:$D,3,0)</f>
        <v>288</v>
      </c>
      <c r="AV8" s="24">
        <f>VLOOKUP(AV4,Sheet1!$A:$D,3,0)</f>
        <v>256</v>
      </c>
      <c r="AW8" s="24">
        <f>VLOOKUP(AW4,Sheet1!$A:$D,3,0)</f>
        <v>768</v>
      </c>
      <c r="AX8" s="24">
        <f>VLOOKUP(AX4,Sheet1!$A:$D,3,0)</f>
        <v>288</v>
      </c>
      <c r="AY8" s="24">
        <f>VLOOKUP(AY4,Sheet1!$A:$D,3,0)</f>
        <v>624</v>
      </c>
      <c r="AZ8" s="24">
        <f>VLOOKUP(AZ4,Sheet1!$A:$D,3,0)</f>
        <v>336</v>
      </c>
      <c r="BA8" s="24">
        <f>VLOOKUP(BA4,Sheet1!$A:$D,3,0)</f>
        <v>544</v>
      </c>
      <c r="BB8" s="24">
        <f>VLOOKUP(BB4,Sheet1!$A:$D,3,0)</f>
        <v>384</v>
      </c>
      <c r="BC8" s="24">
        <f>VLOOKUP(BC4,Sheet1!$A:$D,3,0)</f>
        <v>400</v>
      </c>
      <c r="BD8" s="24">
        <f>VLOOKUP(BD4,Sheet1!$A:$D,3,0)</f>
        <v>304</v>
      </c>
      <c r="BE8" s="24">
        <f>VLOOKUP(BE4,Sheet1!$A:$D,3,0)</f>
        <v>480</v>
      </c>
      <c r="BF8" s="24">
        <f>VLOOKUP(BF4,Sheet1!$A:$D,3,0)</f>
        <v>448</v>
      </c>
      <c r="BG8" s="24">
        <f>VLOOKUP(BG4,Sheet1!$A:$D,3,0)</f>
        <v>576</v>
      </c>
      <c r="BH8" s="24">
        <f>VLOOKUP(BH4,Sheet1!$A:$D,3,0)</f>
        <v>480</v>
      </c>
    </row>
    <row r="9" spans="1:60" x14ac:dyDescent="0.25">
      <c r="A9" s="6" t="s">
        <v>84</v>
      </c>
      <c r="B9" s="16">
        <v>2</v>
      </c>
      <c r="C9" s="16">
        <v>1</v>
      </c>
      <c r="D9" s="16">
        <v>1</v>
      </c>
      <c r="E9" s="16">
        <v>1</v>
      </c>
      <c r="F9" s="16">
        <v>1</v>
      </c>
      <c r="G9" s="16">
        <v>1</v>
      </c>
      <c r="H9" s="16">
        <v>2</v>
      </c>
      <c r="I9" s="16">
        <v>1</v>
      </c>
      <c r="J9" s="16">
        <v>1</v>
      </c>
      <c r="K9" s="16">
        <v>2</v>
      </c>
      <c r="L9" s="16">
        <v>1</v>
      </c>
      <c r="M9" s="16">
        <v>1</v>
      </c>
      <c r="N9" s="16">
        <v>1</v>
      </c>
      <c r="O9" s="16">
        <v>1</v>
      </c>
      <c r="P9" s="16">
        <v>1</v>
      </c>
      <c r="Q9" s="16">
        <v>2</v>
      </c>
      <c r="R9" s="16">
        <v>2</v>
      </c>
      <c r="S9" s="16">
        <v>1</v>
      </c>
      <c r="T9" s="16">
        <v>1</v>
      </c>
      <c r="U9" s="16">
        <v>1</v>
      </c>
      <c r="V9" s="16">
        <v>1</v>
      </c>
      <c r="W9" s="16">
        <v>2</v>
      </c>
      <c r="X9" s="16">
        <v>2</v>
      </c>
      <c r="Y9" s="16">
        <v>2</v>
      </c>
      <c r="Z9" s="16">
        <v>1</v>
      </c>
      <c r="AA9" s="16">
        <v>1</v>
      </c>
      <c r="AB9" s="16">
        <v>1</v>
      </c>
      <c r="AC9" s="16">
        <v>2</v>
      </c>
      <c r="AD9" s="16">
        <v>1</v>
      </c>
      <c r="AE9" s="16">
        <v>1</v>
      </c>
      <c r="AF9" s="16">
        <v>1</v>
      </c>
      <c r="AG9" s="16">
        <v>1</v>
      </c>
      <c r="AH9" s="16">
        <v>1</v>
      </c>
      <c r="AI9" s="16">
        <v>1</v>
      </c>
      <c r="AJ9" s="16">
        <v>1</v>
      </c>
      <c r="AK9" s="16">
        <v>1</v>
      </c>
      <c r="AL9" s="16">
        <v>1</v>
      </c>
      <c r="AM9" s="16">
        <v>1</v>
      </c>
      <c r="AN9" s="16">
        <v>1</v>
      </c>
      <c r="AO9" s="16">
        <v>1</v>
      </c>
      <c r="AP9" s="16">
        <v>1</v>
      </c>
      <c r="AQ9" s="16">
        <v>1</v>
      </c>
      <c r="AR9" s="16">
        <v>1</v>
      </c>
      <c r="AS9" s="16">
        <v>1</v>
      </c>
      <c r="AT9" s="16">
        <v>1</v>
      </c>
      <c r="AU9" s="16">
        <v>1</v>
      </c>
      <c r="AV9" s="16">
        <v>1</v>
      </c>
      <c r="AW9" s="16">
        <v>1</v>
      </c>
      <c r="AX9" s="16">
        <v>1</v>
      </c>
      <c r="AY9" s="16">
        <v>1</v>
      </c>
      <c r="AZ9" s="16">
        <v>1</v>
      </c>
      <c r="BA9" s="16">
        <v>1</v>
      </c>
      <c r="BB9" s="16">
        <v>1</v>
      </c>
      <c r="BC9" s="16">
        <v>1</v>
      </c>
      <c r="BD9" s="16">
        <v>1</v>
      </c>
      <c r="BE9" s="16">
        <v>1</v>
      </c>
      <c r="BF9" s="16">
        <v>1</v>
      </c>
      <c r="BG9" s="16">
        <v>1</v>
      </c>
      <c r="BH9" s="16">
        <v>1</v>
      </c>
    </row>
    <row r="10" spans="1:60" x14ac:dyDescent="0.25">
      <c r="A10" s="6" t="s">
        <v>85</v>
      </c>
      <c r="B10" s="16">
        <v>1</v>
      </c>
      <c r="C10" s="16">
        <v>1</v>
      </c>
      <c r="D10" s="16">
        <v>1</v>
      </c>
      <c r="E10" s="16">
        <v>1</v>
      </c>
      <c r="F10" s="16">
        <v>1</v>
      </c>
      <c r="G10" s="19">
        <v>1</v>
      </c>
      <c r="H10" s="16">
        <v>1</v>
      </c>
      <c r="I10" s="16">
        <v>1</v>
      </c>
      <c r="J10" s="16">
        <v>1</v>
      </c>
      <c r="K10" s="19">
        <v>1</v>
      </c>
      <c r="L10" s="16">
        <v>1</v>
      </c>
      <c r="M10" s="19">
        <v>1</v>
      </c>
      <c r="N10" s="16">
        <v>1</v>
      </c>
      <c r="O10" s="19">
        <v>1</v>
      </c>
      <c r="P10" s="16">
        <v>1</v>
      </c>
      <c r="Q10" s="16">
        <v>1</v>
      </c>
      <c r="R10" s="16">
        <v>2</v>
      </c>
      <c r="S10" s="16">
        <v>1</v>
      </c>
      <c r="T10" s="19">
        <v>1</v>
      </c>
      <c r="U10" s="19">
        <v>1</v>
      </c>
      <c r="V10" s="16">
        <v>1</v>
      </c>
      <c r="W10" s="19">
        <v>1</v>
      </c>
      <c r="X10" s="19">
        <v>2</v>
      </c>
      <c r="Y10" s="19">
        <v>1</v>
      </c>
      <c r="Z10" s="16">
        <v>1</v>
      </c>
      <c r="AA10" s="19">
        <v>1</v>
      </c>
      <c r="AB10" s="19">
        <v>1</v>
      </c>
      <c r="AC10" s="19">
        <v>1</v>
      </c>
      <c r="AD10" s="16">
        <v>1</v>
      </c>
      <c r="AE10" s="19">
        <v>1</v>
      </c>
      <c r="AF10" s="19">
        <v>1</v>
      </c>
      <c r="AG10" s="19">
        <v>1</v>
      </c>
      <c r="AH10" s="19">
        <v>1</v>
      </c>
      <c r="AI10" s="19">
        <v>1</v>
      </c>
      <c r="AJ10" s="19">
        <v>1</v>
      </c>
      <c r="AK10" s="21">
        <v>1</v>
      </c>
      <c r="AL10" s="19">
        <v>1</v>
      </c>
      <c r="AM10" s="19">
        <v>1</v>
      </c>
      <c r="AN10" s="19">
        <v>1</v>
      </c>
      <c r="AO10" s="19">
        <v>1</v>
      </c>
      <c r="AP10" s="19">
        <v>1</v>
      </c>
      <c r="AQ10" s="19">
        <v>1</v>
      </c>
      <c r="AR10" s="19">
        <v>1</v>
      </c>
      <c r="AS10" s="19">
        <v>1</v>
      </c>
      <c r="AT10" s="19">
        <v>1</v>
      </c>
      <c r="AU10" s="19">
        <v>1</v>
      </c>
      <c r="AV10" s="19">
        <v>1</v>
      </c>
      <c r="AW10" s="19">
        <v>1</v>
      </c>
      <c r="AX10" s="19">
        <v>1</v>
      </c>
      <c r="AY10" s="16">
        <v>1</v>
      </c>
      <c r="AZ10" s="19">
        <v>1</v>
      </c>
      <c r="BA10" s="19">
        <v>1</v>
      </c>
      <c r="BB10" s="19">
        <v>1</v>
      </c>
      <c r="BC10" s="19">
        <v>1</v>
      </c>
      <c r="BD10" s="16">
        <v>1</v>
      </c>
      <c r="BE10" s="16">
        <v>1</v>
      </c>
      <c r="BF10" s="19">
        <v>1</v>
      </c>
      <c r="BG10" s="19">
        <v>1</v>
      </c>
      <c r="BH10" s="19">
        <v>1</v>
      </c>
    </row>
    <row r="11" spans="1:60" x14ac:dyDescent="0.25">
      <c r="A11" s="7" t="s">
        <v>86</v>
      </c>
      <c r="B11" s="17">
        <v>1</v>
      </c>
      <c r="C11" s="21" t="s">
        <v>87</v>
      </c>
      <c r="D11" s="20" t="s">
        <v>88</v>
      </c>
      <c r="E11" s="21" t="s">
        <v>89</v>
      </c>
      <c r="F11" s="21" t="s">
        <v>90</v>
      </c>
      <c r="G11" s="21" t="s">
        <v>91</v>
      </c>
      <c r="H11" s="21" t="s">
        <v>92</v>
      </c>
      <c r="I11" s="21" t="s">
        <v>93</v>
      </c>
      <c r="J11" s="21" t="s">
        <v>92</v>
      </c>
      <c r="K11" s="21" t="s">
        <v>88</v>
      </c>
      <c r="L11" s="21" t="s">
        <v>91</v>
      </c>
      <c r="M11" s="21" t="s">
        <v>87</v>
      </c>
      <c r="N11" s="21" t="s">
        <v>94</v>
      </c>
      <c r="O11" s="21" t="s">
        <v>313</v>
      </c>
      <c r="P11" s="18" t="s">
        <v>93</v>
      </c>
      <c r="Q11" s="21" t="s">
        <v>92</v>
      </c>
      <c r="R11" s="21" t="s">
        <v>95</v>
      </c>
      <c r="S11" s="21" t="s">
        <v>96</v>
      </c>
      <c r="T11" s="21" t="s">
        <v>97</v>
      </c>
      <c r="U11" s="21" t="s">
        <v>87</v>
      </c>
      <c r="V11" s="21" t="s">
        <v>98</v>
      </c>
      <c r="W11" s="21" t="s">
        <v>97</v>
      </c>
      <c r="X11" s="21" t="s">
        <v>87</v>
      </c>
      <c r="Y11" s="21" t="s">
        <v>99</v>
      </c>
      <c r="Z11" s="21" t="s">
        <v>87</v>
      </c>
      <c r="AA11" s="21" t="s">
        <v>91</v>
      </c>
      <c r="AB11" s="21" t="s">
        <v>87</v>
      </c>
      <c r="AC11" s="21" t="s">
        <v>92</v>
      </c>
      <c r="AD11" s="21" t="s">
        <v>87</v>
      </c>
      <c r="AE11" s="21" t="s">
        <v>259</v>
      </c>
      <c r="AF11" s="21" t="s">
        <v>87</v>
      </c>
      <c r="AG11" s="21" t="s">
        <v>88</v>
      </c>
      <c r="AH11" s="21" t="s">
        <v>95</v>
      </c>
      <c r="AI11" s="21" t="s">
        <v>89</v>
      </c>
      <c r="AJ11" s="21" t="s">
        <v>99</v>
      </c>
      <c r="AK11" s="21" t="s">
        <v>100</v>
      </c>
      <c r="AL11" s="21" t="s">
        <v>99</v>
      </c>
      <c r="AM11" s="21" t="s">
        <v>88</v>
      </c>
      <c r="AN11" s="21" t="s">
        <v>110</v>
      </c>
      <c r="AO11" s="21" t="s">
        <v>92</v>
      </c>
      <c r="AP11" s="21" t="s">
        <v>87</v>
      </c>
      <c r="AQ11" s="21" t="s">
        <v>112</v>
      </c>
      <c r="AR11" s="21" t="s">
        <v>95</v>
      </c>
      <c r="AS11" s="21" t="s">
        <v>99</v>
      </c>
      <c r="AT11" s="21" t="s">
        <v>87</v>
      </c>
      <c r="AU11" s="21" t="s">
        <v>92</v>
      </c>
      <c r="AV11" s="21" t="s">
        <v>87</v>
      </c>
      <c r="AW11" s="21" t="s">
        <v>92</v>
      </c>
      <c r="AX11" s="21" t="s">
        <v>87</v>
      </c>
      <c r="AY11" s="21" t="s">
        <v>88</v>
      </c>
      <c r="AZ11" s="21" t="s">
        <v>112</v>
      </c>
      <c r="BA11" s="21" t="s">
        <v>99</v>
      </c>
      <c r="BB11" s="21" t="s">
        <v>95</v>
      </c>
      <c r="BC11" s="21" t="s">
        <v>99</v>
      </c>
      <c r="BD11" s="22" t="s">
        <v>88</v>
      </c>
      <c r="BE11" s="21" t="s">
        <v>87</v>
      </c>
      <c r="BF11" s="21" t="s">
        <v>101</v>
      </c>
      <c r="BG11" s="21" t="s">
        <v>87</v>
      </c>
      <c r="BH11" s="21" t="s">
        <v>87</v>
      </c>
    </row>
    <row r="12" spans="1:60" x14ac:dyDescent="0.25">
      <c r="A12" s="8" t="s">
        <v>102</v>
      </c>
      <c r="B12" s="18" t="s">
        <v>91</v>
      </c>
      <c r="C12" s="18" t="s">
        <v>103</v>
      </c>
      <c r="D12" s="21" t="s">
        <v>104</v>
      </c>
      <c r="E12" s="21" t="s">
        <v>105</v>
      </c>
      <c r="F12" s="21" t="s">
        <v>91</v>
      </c>
      <c r="G12" s="21" t="s">
        <v>98</v>
      </c>
      <c r="H12" s="16">
        <v>1</v>
      </c>
      <c r="I12" s="20" t="s">
        <v>106</v>
      </c>
      <c r="J12" s="21" t="s">
        <v>107</v>
      </c>
      <c r="K12" s="19">
        <v>0</v>
      </c>
      <c r="L12" s="21" t="s">
        <v>108</v>
      </c>
      <c r="M12" s="21" t="s">
        <v>101</v>
      </c>
      <c r="N12" s="21" t="s">
        <v>98</v>
      </c>
      <c r="O12" s="21" t="s">
        <v>87</v>
      </c>
      <c r="P12" s="16" t="s">
        <v>109</v>
      </c>
      <c r="Q12" s="21" t="s">
        <v>110</v>
      </c>
      <c r="R12" s="16">
        <v>1</v>
      </c>
      <c r="S12" s="21" t="s">
        <v>97</v>
      </c>
      <c r="T12" s="21" t="s">
        <v>91</v>
      </c>
      <c r="U12" s="21" t="s">
        <v>104</v>
      </c>
      <c r="V12" s="16" t="s">
        <v>111</v>
      </c>
      <c r="W12" s="21" t="s">
        <v>91</v>
      </c>
      <c r="X12" s="21" t="s">
        <v>98</v>
      </c>
      <c r="Y12" s="21" t="s">
        <v>89</v>
      </c>
      <c r="Z12" s="21" t="s">
        <v>103</v>
      </c>
      <c r="AA12" s="21" t="s">
        <v>112</v>
      </c>
      <c r="AB12" s="19">
        <v>1</v>
      </c>
      <c r="AC12" s="21" t="s">
        <v>93</v>
      </c>
      <c r="AD12" s="22" t="s">
        <v>112</v>
      </c>
      <c r="AE12" s="21" t="s">
        <v>114</v>
      </c>
      <c r="AF12" s="21" t="s">
        <v>112</v>
      </c>
      <c r="AG12" s="21" t="s">
        <v>101</v>
      </c>
      <c r="AH12" s="21" t="s">
        <v>91</v>
      </c>
      <c r="AI12" s="21" t="s">
        <v>91</v>
      </c>
      <c r="AJ12" s="21" t="s">
        <v>98</v>
      </c>
      <c r="AK12" s="20" t="s">
        <v>113</v>
      </c>
      <c r="AL12" s="22" t="s">
        <v>87</v>
      </c>
      <c r="AM12" s="19">
        <v>1</v>
      </c>
      <c r="AN12" s="21" t="s">
        <v>104</v>
      </c>
      <c r="AO12" s="21" t="s">
        <v>296</v>
      </c>
      <c r="AP12" s="19" t="s">
        <v>298</v>
      </c>
      <c r="AQ12" s="21" t="s">
        <v>112</v>
      </c>
      <c r="AR12" s="21" t="s">
        <v>105</v>
      </c>
      <c r="AS12" s="21" t="s">
        <v>112</v>
      </c>
      <c r="AT12" s="19">
        <v>1</v>
      </c>
      <c r="AU12" s="21" t="s">
        <v>101</v>
      </c>
      <c r="AV12" s="21" t="s">
        <v>104</v>
      </c>
      <c r="AX12" s="21" t="s">
        <v>104</v>
      </c>
      <c r="AY12" s="20" t="s">
        <v>105</v>
      </c>
      <c r="AZ12" s="21" t="s">
        <v>97</v>
      </c>
      <c r="BA12" s="20" t="s">
        <v>114</v>
      </c>
      <c r="BB12" s="21" t="s">
        <v>98</v>
      </c>
      <c r="BC12" s="21" t="s">
        <v>91</v>
      </c>
      <c r="BD12" s="19" t="s">
        <v>115</v>
      </c>
      <c r="BF12" s="21" t="s">
        <v>91</v>
      </c>
      <c r="BG12" s="21" t="s">
        <v>87</v>
      </c>
      <c r="BH12" s="19" t="s">
        <v>294</v>
      </c>
    </row>
    <row r="13" spans="1:60" x14ac:dyDescent="0.25">
      <c r="A13" s="6" t="s">
        <v>116</v>
      </c>
      <c r="B13" s="19">
        <v>13</v>
      </c>
      <c r="C13" s="16">
        <v>1</v>
      </c>
      <c r="D13" s="16">
        <v>1</v>
      </c>
      <c r="E13" s="16">
        <v>7</v>
      </c>
      <c r="F13" s="16">
        <v>10</v>
      </c>
      <c r="G13" s="19">
        <v>7</v>
      </c>
      <c r="H13" s="19">
        <v>5</v>
      </c>
      <c r="I13" s="16">
        <v>1</v>
      </c>
      <c r="J13" s="16">
        <v>3</v>
      </c>
      <c r="K13" s="19">
        <v>7</v>
      </c>
      <c r="L13" s="18">
        <v>1</v>
      </c>
      <c r="M13" s="19">
        <v>1</v>
      </c>
      <c r="N13" s="16">
        <v>15</v>
      </c>
      <c r="O13" s="19">
        <v>8</v>
      </c>
      <c r="P13" s="16">
        <v>5</v>
      </c>
      <c r="Q13" s="16">
        <v>3</v>
      </c>
      <c r="R13" s="16">
        <v>1</v>
      </c>
      <c r="S13" s="16">
        <v>17</v>
      </c>
      <c r="T13" s="19">
        <v>5</v>
      </c>
      <c r="U13" s="19">
        <v>1</v>
      </c>
      <c r="V13" s="19">
        <v>7</v>
      </c>
      <c r="W13" s="19">
        <v>1</v>
      </c>
      <c r="X13" s="19">
        <v>1</v>
      </c>
      <c r="Y13" s="19">
        <v>1</v>
      </c>
      <c r="Z13" s="16">
        <v>1</v>
      </c>
      <c r="AA13" s="19">
        <v>1</v>
      </c>
      <c r="AB13" s="19">
        <v>1</v>
      </c>
      <c r="AC13" s="19">
        <v>5</v>
      </c>
      <c r="AD13" s="19">
        <v>1</v>
      </c>
      <c r="AE13" s="19">
        <v>27</v>
      </c>
      <c r="AF13" s="19" t="s">
        <v>300</v>
      </c>
      <c r="AG13" s="19">
        <v>7</v>
      </c>
      <c r="AH13" s="19">
        <v>1</v>
      </c>
      <c r="AI13" s="19">
        <v>23</v>
      </c>
      <c r="AJ13" s="19">
        <v>5</v>
      </c>
      <c r="AK13" s="19">
        <v>19</v>
      </c>
      <c r="AL13" s="19">
        <v>1</v>
      </c>
      <c r="AM13" s="20" t="s">
        <v>266</v>
      </c>
      <c r="AN13" s="19">
        <v>21</v>
      </c>
      <c r="AO13" s="19">
        <v>1</v>
      </c>
      <c r="AP13" s="19">
        <v>9</v>
      </c>
      <c r="AQ13" s="19">
        <v>1</v>
      </c>
      <c r="AR13" s="19">
        <v>3</v>
      </c>
      <c r="AS13" s="19">
        <v>1</v>
      </c>
      <c r="AT13" s="19">
        <v>1</v>
      </c>
      <c r="AU13" s="19">
        <v>1</v>
      </c>
      <c r="AV13" s="19">
        <v>3</v>
      </c>
      <c r="AW13" s="19">
        <v>3</v>
      </c>
      <c r="AX13" s="19">
        <v>1</v>
      </c>
      <c r="AY13" s="16">
        <v>17</v>
      </c>
      <c r="AZ13" s="19" t="s">
        <v>256</v>
      </c>
      <c r="BA13" s="19">
        <v>11</v>
      </c>
      <c r="BB13" s="19">
        <v>1</v>
      </c>
      <c r="BC13" s="19">
        <v>11</v>
      </c>
      <c r="BD13" s="19">
        <v>7</v>
      </c>
      <c r="BE13" s="16">
        <v>1</v>
      </c>
      <c r="BF13" s="19">
        <v>9</v>
      </c>
      <c r="BG13" s="19">
        <v>1</v>
      </c>
      <c r="BH13" s="19">
        <v>1</v>
      </c>
    </row>
    <row r="14" spans="1:60" x14ac:dyDescent="0.25">
      <c r="A14" s="6" t="s">
        <v>117</v>
      </c>
      <c r="B14" s="19">
        <v>27</v>
      </c>
      <c r="C14" s="16">
        <v>13</v>
      </c>
      <c r="D14" s="16">
        <v>6</v>
      </c>
      <c r="E14" s="16">
        <v>27</v>
      </c>
      <c r="F14" s="16">
        <v>26</v>
      </c>
      <c r="G14" s="19">
        <v>28</v>
      </c>
      <c r="H14" s="19">
        <v>15</v>
      </c>
      <c r="I14" s="16">
        <v>6</v>
      </c>
      <c r="J14" s="16">
        <v>20</v>
      </c>
      <c r="K14" s="19">
        <v>26</v>
      </c>
      <c r="L14" s="16">
        <v>11</v>
      </c>
      <c r="M14" s="19">
        <v>17</v>
      </c>
      <c r="N14" s="16">
        <v>31</v>
      </c>
      <c r="O14" s="19">
        <v>19</v>
      </c>
      <c r="P14" s="16">
        <v>19</v>
      </c>
      <c r="Q14" s="16">
        <v>13</v>
      </c>
      <c r="R14" s="16">
        <v>9</v>
      </c>
      <c r="S14" s="16">
        <v>40</v>
      </c>
      <c r="T14" s="19">
        <v>17</v>
      </c>
      <c r="U14" s="19">
        <v>27</v>
      </c>
      <c r="V14" s="19">
        <v>21</v>
      </c>
      <c r="W14" s="19">
        <v>17</v>
      </c>
      <c r="X14" s="19">
        <v>14</v>
      </c>
      <c r="Y14" s="19">
        <v>9</v>
      </c>
      <c r="Z14" s="16">
        <v>7</v>
      </c>
      <c r="AA14" s="19">
        <v>10</v>
      </c>
      <c r="AB14" s="19">
        <v>30</v>
      </c>
      <c r="AC14" s="19">
        <v>42</v>
      </c>
      <c r="AD14" s="19">
        <v>24</v>
      </c>
      <c r="AE14" s="19">
        <v>51</v>
      </c>
      <c r="AG14" s="19">
        <v>18</v>
      </c>
      <c r="AH14" s="19">
        <v>9</v>
      </c>
      <c r="AI14" s="19">
        <v>52</v>
      </c>
      <c r="AJ14" s="19">
        <v>18</v>
      </c>
      <c r="AK14" s="19">
        <v>26</v>
      </c>
      <c r="AL14" s="19">
        <v>19</v>
      </c>
      <c r="AM14" s="21" t="s">
        <v>267</v>
      </c>
      <c r="AN14" s="19">
        <v>33</v>
      </c>
      <c r="AO14" s="19">
        <v>17</v>
      </c>
      <c r="AP14" s="19">
        <v>10</v>
      </c>
      <c r="AQ14" s="19">
        <v>14</v>
      </c>
      <c r="AR14" s="19">
        <v>14</v>
      </c>
      <c r="AS14" s="19">
        <v>15</v>
      </c>
      <c r="AT14" s="19">
        <v>34</v>
      </c>
      <c r="AU14" s="19">
        <v>8</v>
      </c>
      <c r="AV14" s="19">
        <v>9</v>
      </c>
      <c r="AW14" s="19">
        <v>10</v>
      </c>
      <c r="AX14" s="19">
        <v>9</v>
      </c>
      <c r="AY14" s="16">
        <v>29</v>
      </c>
      <c r="BA14" s="19">
        <v>31</v>
      </c>
      <c r="BB14" s="19">
        <v>7</v>
      </c>
      <c r="BC14" s="19">
        <v>33</v>
      </c>
      <c r="BD14" s="19">
        <v>32</v>
      </c>
      <c r="BE14" s="16">
        <v>29</v>
      </c>
      <c r="BF14" s="19">
        <v>22</v>
      </c>
      <c r="BG14" s="19">
        <v>9</v>
      </c>
      <c r="BH14" s="19">
        <v>17</v>
      </c>
    </row>
    <row r="15" spans="1:60" x14ac:dyDescent="0.25">
      <c r="A15" s="6" t="s">
        <v>118</v>
      </c>
      <c r="B15" s="19">
        <v>55</v>
      </c>
      <c r="C15" s="16">
        <v>24</v>
      </c>
      <c r="D15" s="16">
        <v>9</v>
      </c>
      <c r="E15" s="16">
        <v>42</v>
      </c>
      <c r="F15" s="16">
        <v>46</v>
      </c>
      <c r="G15" s="19">
        <v>50</v>
      </c>
      <c r="H15" s="19">
        <v>25</v>
      </c>
      <c r="I15" s="16">
        <v>22</v>
      </c>
      <c r="J15" s="16">
        <v>26</v>
      </c>
      <c r="K15" s="19">
        <v>45</v>
      </c>
      <c r="L15" s="16">
        <v>21</v>
      </c>
      <c r="M15" s="19">
        <v>24</v>
      </c>
      <c r="N15" s="16">
        <v>38</v>
      </c>
      <c r="O15" s="19">
        <v>32</v>
      </c>
      <c r="P15" s="16">
        <v>29</v>
      </c>
      <c r="Q15" s="16">
        <v>29</v>
      </c>
      <c r="R15" s="16">
        <v>18</v>
      </c>
      <c r="S15" s="19">
        <v>61</v>
      </c>
      <c r="T15" s="19">
        <v>28</v>
      </c>
      <c r="U15" s="19">
        <v>47</v>
      </c>
      <c r="V15" s="19">
        <v>35</v>
      </c>
      <c r="W15" s="19">
        <v>38</v>
      </c>
      <c r="X15" s="19">
        <v>27</v>
      </c>
      <c r="Y15" s="19">
        <v>22</v>
      </c>
      <c r="Z15" s="16">
        <v>27</v>
      </c>
      <c r="AA15" s="19">
        <v>17</v>
      </c>
      <c r="AB15" s="19">
        <v>48</v>
      </c>
      <c r="AC15" s="19">
        <v>73</v>
      </c>
      <c r="AD15" s="19">
        <v>59</v>
      </c>
      <c r="AE15" s="19">
        <v>65</v>
      </c>
      <c r="AG15" s="19">
        <v>26</v>
      </c>
      <c r="AH15" s="19">
        <v>17</v>
      </c>
      <c r="AI15" s="19">
        <v>59</v>
      </c>
      <c r="AJ15" s="19">
        <v>28</v>
      </c>
      <c r="AK15" s="19">
        <v>33</v>
      </c>
      <c r="AL15" s="19">
        <v>49</v>
      </c>
      <c r="AM15" s="21" t="s">
        <v>268</v>
      </c>
      <c r="AN15" s="19">
        <v>47</v>
      </c>
      <c r="AO15" s="19">
        <v>33</v>
      </c>
      <c r="AP15" s="19">
        <v>30</v>
      </c>
      <c r="AQ15" s="19">
        <v>26</v>
      </c>
      <c r="AR15" s="19">
        <v>34</v>
      </c>
      <c r="AS15" s="19">
        <v>25</v>
      </c>
      <c r="AT15" s="19">
        <v>48</v>
      </c>
      <c r="AU15" s="19">
        <v>20</v>
      </c>
      <c r="AV15" s="19">
        <v>13</v>
      </c>
      <c r="AW15" s="19">
        <v>20</v>
      </c>
      <c r="AX15" s="19">
        <v>13</v>
      </c>
      <c r="AY15" s="16">
        <v>39</v>
      </c>
      <c r="BA15" s="19">
        <v>47</v>
      </c>
      <c r="BB15" s="19">
        <v>16</v>
      </c>
      <c r="BC15" s="19">
        <v>45</v>
      </c>
      <c r="BD15" s="19">
        <v>60</v>
      </c>
      <c r="BE15" s="16">
        <v>47</v>
      </c>
      <c r="BF15" s="19">
        <v>44</v>
      </c>
      <c r="BG15" s="19">
        <v>17</v>
      </c>
      <c r="BH15" s="19">
        <v>32</v>
      </c>
    </row>
    <row r="16" spans="1:60" x14ac:dyDescent="0.25">
      <c r="A16" s="6" t="s">
        <v>119</v>
      </c>
      <c r="B16" s="19">
        <v>83</v>
      </c>
      <c r="C16" s="16">
        <v>40</v>
      </c>
      <c r="D16" s="16">
        <v>12</v>
      </c>
      <c r="E16" s="16">
        <v>61</v>
      </c>
      <c r="F16" s="16">
        <v>67</v>
      </c>
      <c r="G16" s="19">
        <v>71</v>
      </c>
      <c r="H16" s="19">
        <v>40</v>
      </c>
      <c r="I16" s="16">
        <v>41</v>
      </c>
      <c r="J16" s="16">
        <v>34</v>
      </c>
      <c r="K16" s="19">
        <v>83</v>
      </c>
      <c r="L16" s="16">
        <v>31</v>
      </c>
      <c r="M16" s="19">
        <v>38</v>
      </c>
      <c r="N16" s="16">
        <v>64</v>
      </c>
      <c r="O16" s="19">
        <v>42</v>
      </c>
      <c r="P16" s="16">
        <v>35</v>
      </c>
      <c r="Q16" s="19">
        <v>45</v>
      </c>
      <c r="R16" s="16">
        <v>39</v>
      </c>
      <c r="S16" s="19">
        <v>78</v>
      </c>
      <c r="T16" s="19">
        <v>44</v>
      </c>
      <c r="U16" s="19">
        <v>98</v>
      </c>
      <c r="V16" s="19">
        <v>54</v>
      </c>
      <c r="W16" s="19">
        <v>57</v>
      </c>
      <c r="X16" s="19">
        <v>36</v>
      </c>
      <c r="Y16" s="19">
        <v>32</v>
      </c>
      <c r="Z16" s="16">
        <v>43</v>
      </c>
      <c r="AA16" s="19">
        <v>23</v>
      </c>
      <c r="AB16" s="19">
        <v>79</v>
      </c>
      <c r="AC16" s="19">
        <v>104</v>
      </c>
      <c r="AD16" s="19">
        <v>85</v>
      </c>
      <c r="AE16" s="19">
        <v>85</v>
      </c>
      <c r="AG16" s="19">
        <v>34</v>
      </c>
      <c r="AH16" s="19">
        <v>25</v>
      </c>
      <c r="AI16" s="19">
        <v>77</v>
      </c>
      <c r="AJ16" s="19">
        <v>41</v>
      </c>
      <c r="AK16" s="19">
        <v>63</v>
      </c>
      <c r="AL16" s="19">
        <v>63</v>
      </c>
      <c r="AM16" s="19" t="s">
        <v>269</v>
      </c>
      <c r="AN16" s="19">
        <v>59</v>
      </c>
      <c r="AO16" s="19">
        <v>43</v>
      </c>
      <c r="AP16" s="19">
        <v>42</v>
      </c>
      <c r="AQ16" s="19">
        <v>43</v>
      </c>
      <c r="AR16" s="19">
        <v>44</v>
      </c>
      <c r="AS16" s="19">
        <v>35</v>
      </c>
      <c r="AT16" s="19">
        <v>67</v>
      </c>
      <c r="AU16" s="19">
        <v>31</v>
      </c>
      <c r="AV16" s="19">
        <v>15</v>
      </c>
      <c r="AW16" s="19">
        <v>40</v>
      </c>
      <c r="AX16" s="19">
        <v>22</v>
      </c>
      <c r="AY16" s="16">
        <v>49</v>
      </c>
      <c r="BA16" s="19">
        <v>56</v>
      </c>
      <c r="BB16" s="19">
        <v>22</v>
      </c>
      <c r="BC16" s="19">
        <v>55</v>
      </c>
      <c r="BD16" s="19">
        <v>81</v>
      </c>
      <c r="BE16" s="16">
        <v>61</v>
      </c>
      <c r="BF16" s="19">
        <v>55</v>
      </c>
      <c r="BG16" s="19">
        <v>24</v>
      </c>
      <c r="BH16" s="19">
        <v>47</v>
      </c>
    </row>
    <row r="17" spans="1:60" x14ac:dyDescent="0.25">
      <c r="A17" s="6" t="s">
        <v>120</v>
      </c>
      <c r="B17" s="19">
        <v>103</v>
      </c>
      <c r="C17" s="16">
        <v>59</v>
      </c>
      <c r="D17" s="16">
        <v>16</v>
      </c>
      <c r="E17" s="16">
        <v>79</v>
      </c>
      <c r="F17" s="16">
        <v>84</v>
      </c>
      <c r="G17" s="19">
        <v>96</v>
      </c>
      <c r="H17" s="19">
        <v>57</v>
      </c>
      <c r="I17" s="16">
        <v>58</v>
      </c>
      <c r="J17" s="16">
        <v>38</v>
      </c>
      <c r="K17" s="19">
        <v>100</v>
      </c>
      <c r="L17" s="16">
        <v>44</v>
      </c>
      <c r="M17" s="19">
        <v>46</v>
      </c>
      <c r="N17" s="16">
        <v>78</v>
      </c>
      <c r="O17" s="19">
        <v>53</v>
      </c>
      <c r="P17" s="16">
        <v>45</v>
      </c>
      <c r="Q17" s="16">
        <v>59</v>
      </c>
      <c r="R17" s="16">
        <v>49</v>
      </c>
      <c r="S17" s="19">
        <v>98</v>
      </c>
      <c r="T17" s="19">
        <v>63</v>
      </c>
      <c r="U17" s="19">
        <v>109</v>
      </c>
      <c r="V17" s="19">
        <v>65</v>
      </c>
      <c r="W17" s="19">
        <v>76</v>
      </c>
      <c r="X17" s="19">
        <v>51</v>
      </c>
      <c r="Y17" s="19">
        <v>53</v>
      </c>
      <c r="Z17" s="16">
        <v>56</v>
      </c>
      <c r="AA17" s="19">
        <v>36</v>
      </c>
      <c r="AB17" s="19">
        <v>94</v>
      </c>
      <c r="AC17" s="19">
        <v>115</v>
      </c>
      <c r="AD17" s="19">
        <v>120</v>
      </c>
      <c r="AE17" s="19">
        <v>92</v>
      </c>
      <c r="AG17" s="19">
        <v>41</v>
      </c>
      <c r="AH17" s="19">
        <v>33</v>
      </c>
      <c r="AI17" s="19">
        <v>86</v>
      </c>
      <c r="AJ17" s="19">
        <v>60</v>
      </c>
      <c r="AK17" s="19">
        <v>69</v>
      </c>
      <c r="AL17" s="19">
        <v>77</v>
      </c>
      <c r="AM17" s="19" t="s">
        <v>270</v>
      </c>
      <c r="AN17" s="19">
        <v>67</v>
      </c>
      <c r="AO17" s="19">
        <v>67</v>
      </c>
      <c r="AP17" s="19">
        <v>59</v>
      </c>
      <c r="AQ17" s="19">
        <v>59</v>
      </c>
      <c r="AR17" s="19">
        <v>81</v>
      </c>
      <c r="AS17" s="19">
        <v>45</v>
      </c>
      <c r="AT17" s="19">
        <v>117</v>
      </c>
      <c r="AU17" s="19">
        <v>38</v>
      </c>
      <c r="AV17" s="19">
        <v>19</v>
      </c>
      <c r="AW17" s="19">
        <v>95</v>
      </c>
      <c r="AX17" s="19">
        <v>28</v>
      </c>
      <c r="AY17" s="16">
        <v>55</v>
      </c>
      <c r="BA17" s="19">
        <v>64</v>
      </c>
      <c r="BB17" s="19">
        <v>32</v>
      </c>
      <c r="BC17" s="19">
        <v>63</v>
      </c>
      <c r="BD17" s="19">
        <v>108</v>
      </c>
      <c r="BE17" s="16">
        <v>85</v>
      </c>
      <c r="BF17" s="19">
        <v>72</v>
      </c>
      <c r="BG17" s="19">
        <v>32</v>
      </c>
      <c r="BH17" s="19">
        <v>63</v>
      </c>
    </row>
    <row r="18" spans="1:60" x14ac:dyDescent="0.25">
      <c r="A18" s="6" t="s">
        <v>121</v>
      </c>
      <c r="B18" s="19">
        <v>141</v>
      </c>
      <c r="C18" s="16">
        <v>65</v>
      </c>
      <c r="D18" s="16">
        <v>20</v>
      </c>
      <c r="E18" s="16">
        <v>99</v>
      </c>
      <c r="F18" s="16">
        <v>98</v>
      </c>
      <c r="G18" s="19">
        <v>114</v>
      </c>
      <c r="H18" s="19">
        <v>73</v>
      </c>
      <c r="I18" s="16">
        <v>68</v>
      </c>
      <c r="J18" s="16">
        <v>43</v>
      </c>
      <c r="K18" s="19">
        <v>139</v>
      </c>
      <c r="L18" s="16">
        <v>54</v>
      </c>
      <c r="M18" s="19">
        <v>55</v>
      </c>
      <c r="N18" s="16">
        <v>103</v>
      </c>
      <c r="O18" s="19">
        <v>52</v>
      </c>
      <c r="P18" s="16">
        <v>58</v>
      </c>
      <c r="Q18" s="16">
        <v>79</v>
      </c>
      <c r="R18" s="16">
        <v>55</v>
      </c>
      <c r="S18" s="19">
        <v>117</v>
      </c>
      <c r="T18" s="19">
        <v>78</v>
      </c>
      <c r="U18" s="19">
        <v>146</v>
      </c>
      <c r="V18" s="19">
        <v>76</v>
      </c>
      <c r="W18" s="19">
        <v>98</v>
      </c>
      <c r="X18" s="19">
        <v>62</v>
      </c>
      <c r="Y18" s="19">
        <v>58</v>
      </c>
      <c r="Z18" s="16">
        <v>70</v>
      </c>
      <c r="AA18" s="19">
        <v>44</v>
      </c>
      <c r="AB18" s="19">
        <v>113</v>
      </c>
      <c r="AC18" s="19">
        <v>151</v>
      </c>
      <c r="AD18" s="19">
        <v>144</v>
      </c>
      <c r="AE18" s="19">
        <v>114</v>
      </c>
      <c r="AG18" s="19">
        <v>49</v>
      </c>
      <c r="AH18" s="19">
        <v>41</v>
      </c>
      <c r="AI18" s="19">
        <v>107</v>
      </c>
      <c r="AJ18" s="19">
        <v>69</v>
      </c>
      <c r="AK18" s="19">
        <v>80</v>
      </c>
      <c r="AL18" s="19">
        <v>111</v>
      </c>
      <c r="AM18" s="19" t="s">
        <v>271</v>
      </c>
      <c r="AN18" s="19">
        <v>73</v>
      </c>
      <c r="AO18" s="19">
        <v>93</v>
      </c>
      <c r="AP18" s="19">
        <v>4</v>
      </c>
      <c r="AQ18" s="19">
        <v>72</v>
      </c>
      <c r="AR18" s="19">
        <v>117</v>
      </c>
      <c r="AS18" s="19">
        <v>59</v>
      </c>
      <c r="AT18" s="19">
        <v>133</v>
      </c>
      <c r="AU18" s="19">
        <v>47</v>
      </c>
      <c r="AV18" s="19">
        <v>21</v>
      </c>
      <c r="AW18" s="19">
        <v>110</v>
      </c>
      <c r="AX18" s="19">
        <v>38</v>
      </c>
      <c r="AY18" s="16">
        <v>65</v>
      </c>
      <c r="BA18" s="19">
        <v>68</v>
      </c>
      <c r="BB18" s="19">
        <v>36</v>
      </c>
      <c r="BC18" s="19">
        <v>69</v>
      </c>
      <c r="BD18" s="19">
        <v>138</v>
      </c>
      <c r="BE18" s="16">
        <v>105</v>
      </c>
      <c r="BF18" s="19">
        <v>88</v>
      </c>
      <c r="BG18" s="19">
        <v>37</v>
      </c>
      <c r="BH18" s="19">
        <v>73</v>
      </c>
    </row>
    <row r="19" spans="1:60" x14ac:dyDescent="0.25">
      <c r="A19" s="6" t="s">
        <v>122</v>
      </c>
      <c r="B19" s="19">
        <v>157</v>
      </c>
      <c r="C19" s="16">
        <v>78</v>
      </c>
      <c r="D19" s="16">
        <v>23</v>
      </c>
      <c r="E19" s="16">
        <v>119</v>
      </c>
      <c r="F19" s="19">
        <v>121</v>
      </c>
      <c r="G19" s="19">
        <v>136</v>
      </c>
      <c r="H19" s="19">
        <v>87</v>
      </c>
      <c r="I19" s="16">
        <v>79</v>
      </c>
      <c r="J19" s="16">
        <v>57</v>
      </c>
      <c r="K19" s="19">
        <v>160</v>
      </c>
      <c r="L19" s="16">
        <v>65</v>
      </c>
      <c r="M19" s="19">
        <v>69</v>
      </c>
      <c r="N19" s="16">
        <v>131</v>
      </c>
      <c r="O19" s="19">
        <v>71</v>
      </c>
      <c r="P19" s="16">
        <v>63</v>
      </c>
      <c r="Q19" s="16">
        <v>95</v>
      </c>
      <c r="R19" s="16">
        <v>65</v>
      </c>
      <c r="S19" s="19">
        <v>141</v>
      </c>
      <c r="T19" s="19">
        <v>100</v>
      </c>
      <c r="U19" s="19">
        <v>168</v>
      </c>
      <c r="V19" s="19">
        <v>91</v>
      </c>
      <c r="W19" s="19">
        <v>116</v>
      </c>
      <c r="X19" s="19">
        <v>71</v>
      </c>
      <c r="Y19" s="19">
        <v>79</v>
      </c>
      <c r="Z19" s="16">
        <v>86</v>
      </c>
      <c r="AA19" s="19">
        <v>49</v>
      </c>
      <c r="AB19" s="19">
        <v>142</v>
      </c>
      <c r="AC19" s="19">
        <v>181</v>
      </c>
      <c r="AD19" s="19">
        <v>185</v>
      </c>
      <c r="AE19" s="19">
        <v>117</v>
      </c>
      <c r="AG19" s="19">
        <v>63</v>
      </c>
      <c r="AH19" s="19">
        <v>49</v>
      </c>
      <c r="AI19" s="19">
        <v>136</v>
      </c>
      <c r="AJ19" s="19">
        <v>86</v>
      </c>
      <c r="AK19" s="19">
        <v>102</v>
      </c>
      <c r="AL19" s="19">
        <v>121</v>
      </c>
      <c r="AM19" s="19" t="s">
        <v>272</v>
      </c>
      <c r="AN19" s="19">
        <v>83</v>
      </c>
      <c r="AO19" s="19">
        <v>113</v>
      </c>
      <c r="AP19" s="19">
        <v>93</v>
      </c>
      <c r="AQ19" s="19">
        <v>86</v>
      </c>
      <c r="AR19" s="19">
        <v>132</v>
      </c>
      <c r="AS19" s="19">
        <v>71</v>
      </c>
      <c r="AT19" s="19">
        <v>166</v>
      </c>
      <c r="AU19" s="19">
        <v>56</v>
      </c>
      <c r="AV19" s="19">
        <v>25</v>
      </c>
      <c r="AW19" s="19">
        <v>130</v>
      </c>
      <c r="AX19" s="19">
        <v>41</v>
      </c>
      <c r="AY19" s="16">
        <v>75</v>
      </c>
      <c r="BA19" s="19">
        <v>85</v>
      </c>
      <c r="BB19" s="19">
        <v>49</v>
      </c>
      <c r="BC19" s="19">
        <v>73</v>
      </c>
      <c r="BD19" s="19">
        <v>163</v>
      </c>
      <c r="BE19" s="16">
        <v>119</v>
      </c>
      <c r="BF19" s="19">
        <v>102</v>
      </c>
      <c r="BG19" s="19">
        <v>44</v>
      </c>
      <c r="BH19" s="19">
        <v>88</v>
      </c>
    </row>
    <row r="20" spans="1:60" x14ac:dyDescent="0.25">
      <c r="A20" s="6" t="s">
        <v>123</v>
      </c>
      <c r="B20" s="19">
        <v>183</v>
      </c>
      <c r="C20" s="16">
        <v>97</v>
      </c>
      <c r="D20" s="16">
        <v>30</v>
      </c>
      <c r="E20" s="16">
        <v>140</v>
      </c>
      <c r="F20" s="16">
        <v>138</v>
      </c>
      <c r="G20" s="19">
        <v>158</v>
      </c>
      <c r="H20" s="19">
        <v>102</v>
      </c>
      <c r="I20" s="16">
        <v>92</v>
      </c>
      <c r="J20" s="16">
        <v>64</v>
      </c>
      <c r="K20" s="19">
        <v>199</v>
      </c>
      <c r="L20" s="16">
        <v>78</v>
      </c>
      <c r="M20" s="19">
        <v>84</v>
      </c>
      <c r="N20" s="16">
        <v>143</v>
      </c>
      <c r="O20" s="19">
        <v>81</v>
      </c>
      <c r="P20" s="16">
        <v>70</v>
      </c>
      <c r="Q20" s="16">
        <v>109</v>
      </c>
      <c r="R20" s="16">
        <v>76</v>
      </c>
      <c r="S20" s="19">
        <v>165</v>
      </c>
      <c r="T20" s="19">
        <v>119</v>
      </c>
      <c r="U20" s="19">
        <v>183</v>
      </c>
      <c r="V20" s="19">
        <v>105</v>
      </c>
      <c r="W20" s="19">
        <v>130</v>
      </c>
      <c r="X20" s="19">
        <v>82</v>
      </c>
      <c r="Y20" s="19">
        <v>98</v>
      </c>
      <c r="Z20" s="16">
        <v>103</v>
      </c>
      <c r="AA20" s="19">
        <v>52</v>
      </c>
      <c r="AB20" s="19">
        <v>158</v>
      </c>
      <c r="AC20" s="19">
        <v>209</v>
      </c>
      <c r="AD20" s="19">
        <v>202</v>
      </c>
      <c r="AE20" s="19">
        <v>130</v>
      </c>
      <c r="AG20" s="19">
        <v>76</v>
      </c>
      <c r="AH20" s="19">
        <v>57</v>
      </c>
      <c r="AI20" s="19">
        <v>167</v>
      </c>
      <c r="AJ20" s="19">
        <v>96</v>
      </c>
      <c r="AK20" s="19">
        <v>107</v>
      </c>
      <c r="AL20" s="19">
        <v>171</v>
      </c>
      <c r="AM20" s="21" t="s">
        <v>273</v>
      </c>
      <c r="AN20" s="19">
        <v>91</v>
      </c>
      <c r="AO20" s="19">
        <v>151</v>
      </c>
      <c r="AP20" s="19">
        <v>106</v>
      </c>
      <c r="AQ20" s="19">
        <v>103</v>
      </c>
      <c r="AR20" s="19">
        <v>173</v>
      </c>
      <c r="AS20" s="19">
        <v>87</v>
      </c>
      <c r="AT20" s="19">
        <v>205</v>
      </c>
      <c r="AU20" s="19">
        <v>63</v>
      </c>
      <c r="AV20" s="19">
        <v>27</v>
      </c>
      <c r="AW20" s="19">
        <v>143</v>
      </c>
      <c r="AX20" s="19">
        <v>44</v>
      </c>
      <c r="AY20" s="16">
        <v>85</v>
      </c>
      <c r="BA20" s="19">
        <v>100</v>
      </c>
      <c r="BB20" s="19">
        <v>54</v>
      </c>
      <c r="BC20" s="19">
        <v>79</v>
      </c>
      <c r="BD20" s="19">
        <v>188</v>
      </c>
      <c r="BE20" s="16">
        <v>131</v>
      </c>
      <c r="BF20" s="19">
        <v>110</v>
      </c>
      <c r="BG20" s="19">
        <v>54</v>
      </c>
      <c r="BH20" s="19">
        <v>104</v>
      </c>
    </row>
    <row r="21" spans="1:60" x14ac:dyDescent="0.25">
      <c r="A21" s="6" t="s">
        <v>124</v>
      </c>
      <c r="B21" s="19">
        <v>201</v>
      </c>
      <c r="C21" s="16">
        <v>117</v>
      </c>
      <c r="D21" s="16">
        <v>33</v>
      </c>
      <c r="E21" s="16">
        <v>161</v>
      </c>
      <c r="F21" s="16">
        <v>154</v>
      </c>
      <c r="G21" s="19">
        <v>180</v>
      </c>
      <c r="H21" s="19">
        <v>117</v>
      </c>
      <c r="I21" s="16">
        <v>107</v>
      </c>
      <c r="J21" s="16">
        <v>75</v>
      </c>
      <c r="K21" s="19">
        <v>248</v>
      </c>
      <c r="L21" s="16">
        <v>94</v>
      </c>
      <c r="M21" s="19">
        <v>88</v>
      </c>
      <c r="N21" s="16">
        <v>166</v>
      </c>
      <c r="O21" s="19">
        <v>91</v>
      </c>
      <c r="P21" s="16">
        <v>81</v>
      </c>
      <c r="Q21" s="16">
        <v>123</v>
      </c>
      <c r="R21" s="16">
        <v>86</v>
      </c>
      <c r="S21" s="19">
        <v>183</v>
      </c>
      <c r="T21" s="19">
        <v>134</v>
      </c>
      <c r="U21" s="19">
        <v>213</v>
      </c>
      <c r="V21" s="19">
        <v>111</v>
      </c>
      <c r="W21" s="19">
        <v>148</v>
      </c>
      <c r="X21" s="19">
        <v>92</v>
      </c>
      <c r="Y21" s="19">
        <v>113</v>
      </c>
      <c r="Z21" s="16">
        <v>114</v>
      </c>
      <c r="AA21" s="19">
        <v>56</v>
      </c>
      <c r="AB21" s="19">
        <v>188</v>
      </c>
      <c r="AC21" s="19">
        <v>235</v>
      </c>
      <c r="AD21" s="19">
        <v>227</v>
      </c>
      <c r="AE21" s="19">
        <v>142</v>
      </c>
      <c r="AG21" s="19">
        <v>82</v>
      </c>
      <c r="AH21" s="19">
        <v>65</v>
      </c>
      <c r="AI21" s="19">
        <v>186</v>
      </c>
      <c r="AJ21" s="19">
        <v>107</v>
      </c>
      <c r="AK21" s="19">
        <v>118</v>
      </c>
      <c r="AL21" s="19">
        <v>199</v>
      </c>
      <c r="AM21" s="19" t="s">
        <v>274</v>
      </c>
      <c r="AN21" s="19">
        <v>99</v>
      </c>
      <c r="AO21" s="19">
        <v>171</v>
      </c>
      <c r="AP21" s="19">
        <v>124</v>
      </c>
      <c r="AQ21" s="19">
        <v>116</v>
      </c>
      <c r="AR21" s="19" t="s">
        <v>292</v>
      </c>
      <c r="AS21" s="19">
        <v>95</v>
      </c>
      <c r="AT21" s="19">
        <v>220</v>
      </c>
      <c r="AU21" s="19">
        <v>73</v>
      </c>
      <c r="AV21" s="19">
        <v>31</v>
      </c>
      <c r="AW21" s="19">
        <v>173</v>
      </c>
      <c r="AX21" s="19">
        <v>50</v>
      </c>
      <c r="AY21" s="16">
        <v>93</v>
      </c>
      <c r="BA21" s="19">
        <v>120</v>
      </c>
      <c r="BB21" s="19">
        <v>60</v>
      </c>
      <c r="BC21" s="19">
        <v>89</v>
      </c>
      <c r="BD21" s="19">
        <v>213</v>
      </c>
      <c r="BE21" s="16">
        <v>155</v>
      </c>
      <c r="BF21" s="19">
        <v>121</v>
      </c>
      <c r="BG21" s="19">
        <v>63</v>
      </c>
      <c r="BH21" s="19">
        <v>121</v>
      </c>
    </row>
    <row r="22" spans="1:60" x14ac:dyDescent="0.25">
      <c r="A22" s="6" t="s">
        <v>125</v>
      </c>
      <c r="B22" s="19">
        <v>215</v>
      </c>
      <c r="C22" s="16">
        <v>123</v>
      </c>
      <c r="D22" s="16">
        <v>36</v>
      </c>
      <c r="E22" s="16">
        <v>185</v>
      </c>
      <c r="F22" s="16">
        <v>175</v>
      </c>
      <c r="G22" s="19">
        <v>201</v>
      </c>
      <c r="H22" s="19">
        <v>129</v>
      </c>
      <c r="I22" s="16">
        <v>119</v>
      </c>
      <c r="J22" s="16">
        <v>78</v>
      </c>
      <c r="K22" s="19">
        <v>266</v>
      </c>
      <c r="L22" s="16">
        <v>105</v>
      </c>
      <c r="M22" s="19">
        <v>100</v>
      </c>
      <c r="N22" s="16">
        <v>184</v>
      </c>
      <c r="O22" s="19">
        <v>98</v>
      </c>
      <c r="P22" s="16">
        <v>87</v>
      </c>
      <c r="Q22" s="16">
        <v>145</v>
      </c>
      <c r="R22" s="16">
        <v>101</v>
      </c>
      <c r="S22" s="19">
        <v>202</v>
      </c>
      <c r="T22" s="19">
        <v>154</v>
      </c>
      <c r="U22" s="19">
        <v>242</v>
      </c>
      <c r="V22" s="19">
        <v>124</v>
      </c>
      <c r="W22" s="19">
        <v>166</v>
      </c>
      <c r="X22" s="19">
        <v>107</v>
      </c>
      <c r="Y22" s="19">
        <v>123</v>
      </c>
      <c r="Z22" s="16">
        <v>129</v>
      </c>
      <c r="AA22" s="19">
        <v>63</v>
      </c>
      <c r="AB22" s="19">
        <v>216</v>
      </c>
      <c r="AC22" s="19" t="s">
        <v>319</v>
      </c>
      <c r="AD22" s="19">
        <v>260</v>
      </c>
      <c r="AE22" s="19">
        <v>149</v>
      </c>
      <c r="AG22" s="19">
        <v>94</v>
      </c>
      <c r="AH22" s="19">
        <v>73</v>
      </c>
      <c r="AI22" s="19">
        <v>209</v>
      </c>
      <c r="AJ22" s="19">
        <v>117</v>
      </c>
      <c r="AK22" s="19">
        <v>131</v>
      </c>
      <c r="AL22" s="19">
        <v>257</v>
      </c>
      <c r="AM22" s="19" t="s">
        <v>275</v>
      </c>
      <c r="AN22" s="19">
        <v>107</v>
      </c>
      <c r="AO22" s="19">
        <v>185</v>
      </c>
      <c r="AP22" s="19">
        <v>129</v>
      </c>
      <c r="AQ22" s="19">
        <v>135</v>
      </c>
      <c r="AS22" s="19">
        <v>103</v>
      </c>
      <c r="AT22" s="19">
        <v>246</v>
      </c>
      <c r="AU22" s="19">
        <v>82</v>
      </c>
      <c r="AV22" s="19">
        <v>33</v>
      </c>
      <c r="AW22" s="19">
        <v>191</v>
      </c>
      <c r="AX22" s="19">
        <v>54</v>
      </c>
      <c r="AY22" s="16">
        <v>101</v>
      </c>
      <c r="BA22" s="19">
        <v>130</v>
      </c>
      <c r="BB22" s="19">
        <v>67</v>
      </c>
      <c r="BC22" s="19">
        <v>117</v>
      </c>
      <c r="BD22" s="19">
        <v>235</v>
      </c>
      <c r="BE22" s="16">
        <v>177</v>
      </c>
      <c r="BF22" s="19">
        <v>135</v>
      </c>
      <c r="BG22" s="19">
        <v>69</v>
      </c>
      <c r="BH22" s="19">
        <v>138</v>
      </c>
    </row>
    <row r="23" spans="1:60" x14ac:dyDescent="0.25">
      <c r="A23" s="6" t="s">
        <v>126</v>
      </c>
      <c r="B23" s="19">
        <v>235</v>
      </c>
      <c r="C23" s="16">
        <v>140</v>
      </c>
      <c r="D23" s="16">
        <v>39</v>
      </c>
      <c r="E23" s="16">
        <v>201</v>
      </c>
      <c r="F23" s="16">
        <v>191</v>
      </c>
      <c r="G23" s="19">
        <v>220</v>
      </c>
      <c r="H23" s="19">
        <v>142</v>
      </c>
      <c r="I23" s="16">
        <v>129</v>
      </c>
      <c r="J23" s="16">
        <v>83</v>
      </c>
      <c r="K23" s="19">
        <v>325</v>
      </c>
      <c r="L23" s="16">
        <v>114</v>
      </c>
      <c r="M23" s="19">
        <v>107</v>
      </c>
      <c r="N23" s="16">
        <v>192</v>
      </c>
      <c r="O23" s="19">
        <v>107</v>
      </c>
      <c r="P23" s="19">
        <v>95</v>
      </c>
      <c r="Q23" s="16">
        <v>167</v>
      </c>
      <c r="R23" s="16">
        <v>111</v>
      </c>
      <c r="S23" s="19">
        <v>222</v>
      </c>
      <c r="T23" s="19">
        <v>170</v>
      </c>
      <c r="U23" s="19">
        <v>264</v>
      </c>
      <c r="V23" s="19">
        <v>138</v>
      </c>
      <c r="W23" s="19">
        <v>181</v>
      </c>
      <c r="X23" s="19">
        <v>118</v>
      </c>
      <c r="Y23" s="19">
        <v>137</v>
      </c>
      <c r="Z23" s="16">
        <v>144</v>
      </c>
      <c r="AA23" s="19">
        <v>69</v>
      </c>
      <c r="AB23" s="19">
        <v>258</v>
      </c>
      <c r="AD23" s="19">
        <v>274</v>
      </c>
      <c r="AE23" s="19">
        <v>154</v>
      </c>
      <c r="AG23" s="19">
        <v>107</v>
      </c>
      <c r="AH23" s="19">
        <v>81</v>
      </c>
      <c r="AI23" s="19">
        <v>226</v>
      </c>
      <c r="AJ23" s="19">
        <v>128</v>
      </c>
      <c r="AK23" s="19">
        <v>139</v>
      </c>
      <c r="AL23" s="19">
        <v>267</v>
      </c>
      <c r="AM23" s="19" t="s">
        <v>276</v>
      </c>
      <c r="AN23" s="19">
        <v>115</v>
      </c>
      <c r="AO23" s="19">
        <v>199</v>
      </c>
      <c r="AP23" s="19">
        <v>135</v>
      </c>
      <c r="AQ23" s="19">
        <v>148</v>
      </c>
      <c r="AS23" s="19">
        <v>117</v>
      </c>
      <c r="AT23" s="19">
        <v>264</v>
      </c>
      <c r="AU23" s="19">
        <v>93</v>
      </c>
      <c r="AV23" s="19">
        <v>35</v>
      </c>
      <c r="AW23" s="19">
        <v>217</v>
      </c>
      <c r="AX23" s="19">
        <v>61</v>
      </c>
      <c r="AY23" s="16">
        <v>111</v>
      </c>
      <c r="BA23" s="19">
        <v>154</v>
      </c>
      <c r="BB23" s="19">
        <v>74</v>
      </c>
      <c r="BC23" s="19">
        <v>133</v>
      </c>
      <c r="BD23" s="19" t="s">
        <v>127</v>
      </c>
      <c r="BE23" s="16">
        <v>199</v>
      </c>
      <c r="BF23" s="19">
        <v>147</v>
      </c>
      <c r="BG23" s="19">
        <v>75</v>
      </c>
      <c r="BH23" s="19">
        <v>155</v>
      </c>
    </row>
    <row r="24" spans="1:60" x14ac:dyDescent="0.25">
      <c r="A24" s="6" t="s">
        <v>128</v>
      </c>
      <c r="B24" s="19">
        <v>257</v>
      </c>
      <c r="C24" s="16">
        <v>160</v>
      </c>
      <c r="D24" s="16">
        <v>46</v>
      </c>
      <c r="E24" s="16">
        <v>223</v>
      </c>
      <c r="F24" s="16">
        <v>211</v>
      </c>
      <c r="G24" s="19">
        <v>244</v>
      </c>
      <c r="H24" s="19">
        <v>163</v>
      </c>
      <c r="I24" s="16">
        <v>138</v>
      </c>
      <c r="J24" s="16">
        <v>91</v>
      </c>
      <c r="K24" s="19">
        <v>431</v>
      </c>
      <c r="L24" s="16">
        <v>123</v>
      </c>
      <c r="M24" s="19">
        <v>117</v>
      </c>
      <c r="N24" s="16">
        <v>199</v>
      </c>
      <c r="O24" s="19">
        <v>115</v>
      </c>
      <c r="P24" s="16">
        <v>103</v>
      </c>
      <c r="Q24" s="16">
        <v>177</v>
      </c>
      <c r="R24" s="16">
        <v>125</v>
      </c>
      <c r="S24" s="19">
        <v>239</v>
      </c>
      <c r="T24" s="19">
        <v>183</v>
      </c>
      <c r="U24" s="19">
        <v>272</v>
      </c>
      <c r="V24" s="19">
        <v>150</v>
      </c>
      <c r="W24" s="19">
        <v>197</v>
      </c>
      <c r="X24" s="19">
        <v>130</v>
      </c>
      <c r="Y24" s="19">
        <v>148</v>
      </c>
      <c r="Z24" s="16">
        <v>157</v>
      </c>
      <c r="AA24" s="19">
        <v>74</v>
      </c>
      <c r="AB24" s="19">
        <v>281</v>
      </c>
      <c r="AD24" s="19" t="s">
        <v>129</v>
      </c>
      <c r="AE24" s="19">
        <v>171</v>
      </c>
      <c r="AG24" s="19">
        <v>116</v>
      </c>
      <c r="AH24" s="19">
        <v>89</v>
      </c>
      <c r="AI24" s="19">
        <v>234</v>
      </c>
      <c r="AJ24" s="19">
        <v>140</v>
      </c>
      <c r="AK24" s="19">
        <v>151</v>
      </c>
      <c r="AL24" s="19">
        <v>275</v>
      </c>
      <c r="AM24" s="19" t="s">
        <v>277</v>
      </c>
      <c r="AN24" s="19">
        <v>121</v>
      </c>
      <c r="AO24" s="19">
        <v>213</v>
      </c>
      <c r="AP24" s="19">
        <v>145</v>
      </c>
      <c r="AQ24" s="19">
        <v>162</v>
      </c>
      <c r="AS24" s="19">
        <v>127</v>
      </c>
      <c r="AT24" s="19">
        <v>304</v>
      </c>
      <c r="AU24" s="19">
        <v>102</v>
      </c>
      <c r="AV24" s="19">
        <v>39</v>
      </c>
      <c r="AW24" s="19">
        <v>221</v>
      </c>
      <c r="AX24" s="19">
        <v>66</v>
      </c>
      <c r="AY24" s="16">
        <v>122</v>
      </c>
      <c r="BA24" s="19">
        <v>170</v>
      </c>
      <c r="BB24" s="19">
        <v>83</v>
      </c>
      <c r="BC24" s="19">
        <v>145</v>
      </c>
      <c r="BE24" s="16">
        <v>227</v>
      </c>
      <c r="BF24" s="19">
        <v>160</v>
      </c>
      <c r="BG24" s="19">
        <v>84</v>
      </c>
      <c r="BH24" s="19">
        <v>170</v>
      </c>
    </row>
    <row r="25" spans="1:60" x14ac:dyDescent="0.25">
      <c r="A25" s="6" t="s">
        <v>130</v>
      </c>
      <c r="B25" s="19">
        <v>281</v>
      </c>
      <c r="C25" s="16">
        <v>177</v>
      </c>
      <c r="D25" s="16">
        <v>56</v>
      </c>
      <c r="E25" s="16">
        <v>245</v>
      </c>
      <c r="F25" s="16">
        <v>226</v>
      </c>
      <c r="G25" s="19">
        <v>261</v>
      </c>
      <c r="H25" s="19">
        <v>176</v>
      </c>
      <c r="I25" s="16">
        <v>144</v>
      </c>
      <c r="J25" s="16">
        <v>101</v>
      </c>
      <c r="K25" s="19">
        <v>481</v>
      </c>
      <c r="L25" s="16">
        <v>136</v>
      </c>
      <c r="M25" s="19">
        <v>129</v>
      </c>
      <c r="N25" s="16">
        <v>216</v>
      </c>
      <c r="O25" s="19">
        <v>126</v>
      </c>
      <c r="P25" s="16">
        <v>111</v>
      </c>
      <c r="Q25" s="16">
        <v>195</v>
      </c>
      <c r="R25" s="16">
        <v>140</v>
      </c>
      <c r="S25" s="19">
        <v>257</v>
      </c>
      <c r="T25" s="19">
        <v>197</v>
      </c>
      <c r="U25" s="19">
        <v>306</v>
      </c>
      <c r="V25" s="19">
        <v>163</v>
      </c>
      <c r="W25" s="19">
        <v>214</v>
      </c>
      <c r="X25" s="19">
        <v>140</v>
      </c>
      <c r="Y25" s="19">
        <v>157</v>
      </c>
      <c r="Z25" s="16">
        <v>171</v>
      </c>
      <c r="AA25" s="19">
        <v>80</v>
      </c>
      <c r="AB25" s="19">
        <v>301</v>
      </c>
      <c r="AE25" s="19">
        <v>179</v>
      </c>
      <c r="AG25" s="19">
        <v>127</v>
      </c>
      <c r="AH25" s="19">
        <v>97</v>
      </c>
      <c r="AI25" s="19">
        <v>255</v>
      </c>
      <c r="AJ25" s="19">
        <v>155</v>
      </c>
      <c r="AK25" s="19">
        <v>157</v>
      </c>
      <c r="AL25" s="19">
        <v>283</v>
      </c>
      <c r="AM25" s="19" t="s">
        <v>278</v>
      </c>
      <c r="AN25" s="19">
        <v>125</v>
      </c>
      <c r="AO25" s="19">
        <v>229</v>
      </c>
      <c r="AP25" s="19">
        <v>151</v>
      </c>
      <c r="AQ25" s="19">
        <v>178</v>
      </c>
      <c r="AS25" s="19">
        <v>141</v>
      </c>
      <c r="AT25" s="19">
        <v>341</v>
      </c>
      <c r="AU25" s="19">
        <v>114</v>
      </c>
      <c r="AV25" s="19">
        <v>43</v>
      </c>
      <c r="AW25" s="19">
        <v>264</v>
      </c>
      <c r="AX25" s="19">
        <v>70</v>
      </c>
      <c r="AY25" s="16">
        <v>133</v>
      </c>
      <c r="BA25" s="19">
        <v>185</v>
      </c>
      <c r="BB25" s="19">
        <v>94</v>
      </c>
      <c r="BC25" s="19">
        <v>147</v>
      </c>
      <c r="BE25" s="16">
        <v>255</v>
      </c>
      <c r="BF25" s="19">
        <v>171</v>
      </c>
      <c r="BG25" s="19">
        <v>96</v>
      </c>
      <c r="BH25" s="19">
        <v>190</v>
      </c>
    </row>
    <row r="26" spans="1:60" x14ac:dyDescent="0.25">
      <c r="A26" s="6" t="s">
        <v>131</v>
      </c>
      <c r="B26" s="19">
        <v>295</v>
      </c>
      <c r="C26" s="16">
        <v>190</v>
      </c>
      <c r="D26" s="16">
        <v>59</v>
      </c>
      <c r="E26" s="16">
        <v>269</v>
      </c>
      <c r="F26" s="16">
        <v>252</v>
      </c>
      <c r="G26" s="19" t="s">
        <v>132</v>
      </c>
      <c r="H26" s="19">
        <v>195</v>
      </c>
      <c r="I26" s="16">
        <v>152</v>
      </c>
      <c r="J26" s="16">
        <v>107</v>
      </c>
      <c r="K26" s="19">
        <v>494</v>
      </c>
      <c r="L26" s="16">
        <v>146</v>
      </c>
      <c r="M26" s="19">
        <v>137</v>
      </c>
      <c r="N26" s="16">
        <v>225</v>
      </c>
      <c r="O26" s="19">
        <v>138</v>
      </c>
      <c r="P26" s="16">
        <v>118</v>
      </c>
      <c r="Q26" s="16">
        <v>217</v>
      </c>
      <c r="R26" s="16">
        <v>145</v>
      </c>
      <c r="S26" s="19">
        <v>276</v>
      </c>
      <c r="T26" s="19" t="s">
        <v>133</v>
      </c>
      <c r="U26" s="19">
        <v>327</v>
      </c>
      <c r="V26" s="19">
        <v>178</v>
      </c>
      <c r="W26" s="19">
        <v>232</v>
      </c>
      <c r="X26" s="19">
        <v>150</v>
      </c>
      <c r="Y26" s="19">
        <v>168</v>
      </c>
      <c r="Z26" s="16">
        <v>186</v>
      </c>
      <c r="AA26" s="19">
        <v>86</v>
      </c>
      <c r="AB26" s="19">
        <v>332</v>
      </c>
      <c r="AE26" s="19">
        <v>186</v>
      </c>
      <c r="AG26" s="19">
        <v>159</v>
      </c>
      <c r="AH26" s="19">
        <v>105</v>
      </c>
      <c r="AI26" s="19">
        <v>261</v>
      </c>
      <c r="AJ26" s="19">
        <v>173</v>
      </c>
      <c r="AK26" s="19">
        <v>166</v>
      </c>
      <c r="AL26" s="19">
        <v>299</v>
      </c>
      <c r="AM26" s="19" t="s">
        <v>279</v>
      </c>
      <c r="AN26" s="19">
        <v>129</v>
      </c>
      <c r="AO26" s="19">
        <v>241</v>
      </c>
      <c r="AP26" s="19">
        <v>158</v>
      </c>
      <c r="AQ26" s="19" t="s">
        <v>252</v>
      </c>
      <c r="AS26" s="19">
        <v>161</v>
      </c>
      <c r="AT26" s="19">
        <v>349</v>
      </c>
      <c r="AU26" s="19">
        <v>125</v>
      </c>
      <c r="AV26" s="19">
        <v>47</v>
      </c>
      <c r="AW26" s="19">
        <v>347</v>
      </c>
      <c r="AX26" s="19">
        <v>74</v>
      </c>
      <c r="AY26" s="16">
        <v>145</v>
      </c>
      <c r="BA26" s="19">
        <v>203</v>
      </c>
      <c r="BB26" s="19">
        <v>98</v>
      </c>
      <c r="BC26" s="19">
        <v>163</v>
      </c>
      <c r="BE26" s="16">
        <v>271</v>
      </c>
      <c r="BF26" s="19">
        <v>185</v>
      </c>
      <c r="BG26" s="19">
        <v>99</v>
      </c>
      <c r="BH26" s="19">
        <v>209</v>
      </c>
    </row>
    <row r="27" spans="1:60" x14ac:dyDescent="0.25">
      <c r="A27" s="6" t="s">
        <v>134</v>
      </c>
      <c r="B27" s="19">
        <v>317</v>
      </c>
      <c r="C27" s="16">
        <v>200</v>
      </c>
      <c r="D27" s="16">
        <v>63</v>
      </c>
      <c r="E27" s="16">
        <v>294</v>
      </c>
      <c r="F27" s="16">
        <v>271</v>
      </c>
      <c r="H27" s="19">
        <v>210</v>
      </c>
      <c r="I27" s="16">
        <v>163</v>
      </c>
      <c r="J27" s="16">
        <v>112</v>
      </c>
      <c r="K27" s="19">
        <v>549</v>
      </c>
      <c r="L27" s="16">
        <v>154</v>
      </c>
      <c r="M27" s="19">
        <v>147</v>
      </c>
      <c r="N27" s="16">
        <v>242</v>
      </c>
      <c r="O27" s="19">
        <v>144</v>
      </c>
      <c r="P27" s="16">
        <v>124</v>
      </c>
      <c r="Q27" s="16">
        <v>245</v>
      </c>
      <c r="R27" s="16">
        <v>156</v>
      </c>
      <c r="S27" s="19">
        <v>299</v>
      </c>
      <c r="U27" s="19">
        <v>354</v>
      </c>
      <c r="V27" s="19">
        <v>196</v>
      </c>
      <c r="W27" s="19">
        <v>253</v>
      </c>
      <c r="X27" s="19">
        <v>165</v>
      </c>
      <c r="Y27" s="19">
        <v>178</v>
      </c>
      <c r="Z27" s="16">
        <v>205</v>
      </c>
      <c r="AA27" s="19">
        <v>98</v>
      </c>
      <c r="AB27" s="19">
        <v>362</v>
      </c>
      <c r="AE27" s="19" t="s">
        <v>260</v>
      </c>
      <c r="AG27" s="19">
        <v>150</v>
      </c>
      <c r="AH27" s="19">
        <v>113</v>
      </c>
      <c r="AI27" s="19">
        <v>292</v>
      </c>
      <c r="AJ27" s="19">
        <v>183</v>
      </c>
      <c r="AK27" s="19">
        <v>176</v>
      </c>
      <c r="AL27" s="19" t="s">
        <v>299</v>
      </c>
      <c r="AM27" s="19" t="s">
        <v>280</v>
      </c>
      <c r="AN27" s="19">
        <v>133</v>
      </c>
      <c r="AO27" s="19">
        <v>257</v>
      </c>
      <c r="AP27" s="19">
        <v>163</v>
      </c>
      <c r="AS27" s="19">
        <v>169</v>
      </c>
      <c r="AT27" s="19">
        <v>359</v>
      </c>
      <c r="AU27" s="19">
        <v>137</v>
      </c>
      <c r="AV27" s="19">
        <v>51</v>
      </c>
      <c r="AW27" s="19">
        <v>370</v>
      </c>
      <c r="AX27" s="19">
        <v>85</v>
      </c>
      <c r="AY27" s="16">
        <v>155</v>
      </c>
      <c r="BA27" s="19">
        <v>216</v>
      </c>
      <c r="BB27" s="19">
        <v>106</v>
      </c>
      <c r="BC27" s="19">
        <v>165</v>
      </c>
      <c r="BE27" s="16">
        <v>289</v>
      </c>
      <c r="BF27" s="19">
        <v>195</v>
      </c>
      <c r="BG27" s="19">
        <v>105</v>
      </c>
      <c r="BH27" s="19">
        <v>227</v>
      </c>
    </row>
    <row r="28" spans="1:60" x14ac:dyDescent="0.25">
      <c r="A28" s="6" t="s">
        <v>135</v>
      </c>
      <c r="B28" s="19" t="s">
        <v>136</v>
      </c>
      <c r="C28" s="16">
        <v>205</v>
      </c>
      <c r="D28" s="16">
        <v>75</v>
      </c>
      <c r="E28" s="16">
        <v>315</v>
      </c>
      <c r="F28" s="16">
        <v>289</v>
      </c>
      <c r="H28" s="19">
        <v>223</v>
      </c>
      <c r="I28" s="16">
        <v>177</v>
      </c>
      <c r="J28" s="16">
        <v>114</v>
      </c>
      <c r="K28" s="19" t="s">
        <v>327</v>
      </c>
      <c r="L28" s="16">
        <v>166</v>
      </c>
      <c r="M28" s="19">
        <v>157</v>
      </c>
      <c r="N28" s="16">
        <v>257</v>
      </c>
      <c r="O28" s="19">
        <v>153</v>
      </c>
      <c r="P28" s="16">
        <v>132</v>
      </c>
      <c r="Q28" s="16">
        <v>271</v>
      </c>
      <c r="R28" s="16">
        <v>166</v>
      </c>
      <c r="S28" s="19">
        <v>317</v>
      </c>
      <c r="U28" s="19">
        <v>374</v>
      </c>
      <c r="V28" s="19">
        <v>205</v>
      </c>
      <c r="W28" s="19">
        <v>271</v>
      </c>
      <c r="X28" s="19">
        <v>181</v>
      </c>
      <c r="Y28" s="19">
        <v>191</v>
      </c>
      <c r="Z28" s="16">
        <v>223</v>
      </c>
      <c r="AA28" s="19">
        <v>104</v>
      </c>
      <c r="AB28" s="19">
        <v>401</v>
      </c>
      <c r="AG28" s="19">
        <v>165</v>
      </c>
      <c r="AH28" s="19">
        <v>121</v>
      </c>
      <c r="AI28" s="19">
        <v>308</v>
      </c>
      <c r="AJ28" s="19">
        <v>202</v>
      </c>
      <c r="AK28" s="19">
        <v>182</v>
      </c>
      <c r="AM28" s="19" t="s">
        <v>281</v>
      </c>
      <c r="AN28" s="19">
        <v>137</v>
      </c>
      <c r="AO28" s="19">
        <v>271</v>
      </c>
      <c r="AP28" s="19">
        <v>165</v>
      </c>
      <c r="AS28" s="19">
        <v>181</v>
      </c>
      <c r="AT28" s="19">
        <v>383</v>
      </c>
      <c r="AU28" s="19">
        <v>146</v>
      </c>
      <c r="AV28" s="19">
        <v>55</v>
      </c>
      <c r="AW28" s="19">
        <v>399</v>
      </c>
      <c r="AX28" s="19">
        <v>95</v>
      </c>
      <c r="AY28" s="16">
        <v>165</v>
      </c>
      <c r="BA28" s="19">
        <v>225</v>
      </c>
      <c r="BB28" s="19">
        <v>116</v>
      </c>
      <c r="BC28" s="19">
        <v>177</v>
      </c>
      <c r="BE28" s="16">
        <v>315</v>
      </c>
      <c r="BF28" s="19">
        <v>209</v>
      </c>
      <c r="BG28" s="19">
        <v>114</v>
      </c>
      <c r="BH28" s="19">
        <v>243</v>
      </c>
    </row>
    <row r="29" spans="1:60" x14ac:dyDescent="0.25">
      <c r="A29" s="6" t="s">
        <v>137</v>
      </c>
      <c r="C29" s="16">
        <v>222</v>
      </c>
      <c r="D29" s="16">
        <v>82</v>
      </c>
      <c r="E29" s="16">
        <v>334</v>
      </c>
      <c r="F29" s="16">
        <v>309</v>
      </c>
      <c r="H29" s="19">
        <v>239</v>
      </c>
      <c r="I29" s="16">
        <v>187</v>
      </c>
      <c r="J29" s="16">
        <v>118</v>
      </c>
      <c r="L29" s="16">
        <v>179</v>
      </c>
      <c r="M29" s="19">
        <v>173</v>
      </c>
      <c r="N29" s="16">
        <v>267</v>
      </c>
      <c r="O29" s="19">
        <v>159</v>
      </c>
      <c r="P29" s="16">
        <v>136</v>
      </c>
      <c r="Q29" s="16">
        <v>287</v>
      </c>
      <c r="R29" s="16">
        <v>176</v>
      </c>
      <c r="S29" s="19">
        <v>336</v>
      </c>
      <c r="U29" s="19">
        <v>408</v>
      </c>
      <c r="V29" s="19">
        <v>220</v>
      </c>
      <c r="W29" s="19">
        <v>290</v>
      </c>
      <c r="X29" s="19">
        <v>191</v>
      </c>
      <c r="Y29" s="19">
        <v>212</v>
      </c>
      <c r="Z29" s="16">
        <v>242</v>
      </c>
      <c r="AA29" s="19">
        <v>111</v>
      </c>
      <c r="AB29" s="19">
        <v>443</v>
      </c>
      <c r="AG29" s="19">
        <v>173</v>
      </c>
      <c r="AH29" s="19">
        <v>129</v>
      </c>
      <c r="AI29" s="19" t="s">
        <v>138</v>
      </c>
      <c r="AJ29" s="19">
        <v>211</v>
      </c>
      <c r="AK29" s="19">
        <v>186</v>
      </c>
      <c r="AM29" s="19" t="s">
        <v>282</v>
      </c>
      <c r="AN29" s="19">
        <v>141</v>
      </c>
      <c r="AO29" s="19">
        <v>297</v>
      </c>
      <c r="AP29" s="19">
        <v>169</v>
      </c>
      <c r="AS29" s="19">
        <v>193</v>
      </c>
      <c r="AT29" s="19">
        <v>405</v>
      </c>
      <c r="AU29" s="19">
        <v>158</v>
      </c>
      <c r="AV29" s="19">
        <v>67</v>
      </c>
      <c r="AW29" s="19">
        <v>403</v>
      </c>
      <c r="AX29" s="19">
        <v>101</v>
      </c>
      <c r="AY29" s="16">
        <v>178</v>
      </c>
      <c r="BA29" s="19">
        <v>241</v>
      </c>
      <c r="BB29" s="19">
        <v>124</v>
      </c>
      <c r="BC29" s="19">
        <v>187</v>
      </c>
      <c r="BE29" s="16">
        <v>343</v>
      </c>
      <c r="BF29" s="19">
        <v>220</v>
      </c>
      <c r="BG29" s="19">
        <v>119</v>
      </c>
      <c r="BH29" s="19">
        <v>256</v>
      </c>
    </row>
    <row r="30" spans="1:60" x14ac:dyDescent="0.25">
      <c r="A30" s="6" t="s">
        <v>139</v>
      </c>
      <c r="C30" s="16">
        <v>238</v>
      </c>
      <c r="D30" s="16">
        <v>88</v>
      </c>
      <c r="E30" s="16">
        <v>157</v>
      </c>
      <c r="F30" s="16">
        <v>330</v>
      </c>
      <c r="H30" s="19">
        <v>258</v>
      </c>
      <c r="I30" s="16">
        <v>209</v>
      </c>
      <c r="J30" s="16">
        <v>119</v>
      </c>
      <c r="L30" s="16">
        <v>188</v>
      </c>
      <c r="M30" s="19">
        <v>187</v>
      </c>
      <c r="N30" s="16">
        <v>284</v>
      </c>
      <c r="O30" s="19">
        <v>165</v>
      </c>
      <c r="P30" s="16">
        <v>143</v>
      </c>
      <c r="Q30" s="16">
        <v>309</v>
      </c>
      <c r="R30" s="16">
        <v>187</v>
      </c>
      <c r="S30" s="19">
        <v>353</v>
      </c>
      <c r="U30" s="19">
        <v>424</v>
      </c>
      <c r="V30" s="19">
        <v>233</v>
      </c>
      <c r="W30" s="19">
        <v>310</v>
      </c>
      <c r="X30" s="19">
        <v>201</v>
      </c>
      <c r="Y30" s="19">
        <v>227</v>
      </c>
      <c r="Z30" s="16">
        <v>257</v>
      </c>
      <c r="AA30" s="19">
        <v>114</v>
      </c>
      <c r="AB30" s="19">
        <v>469</v>
      </c>
      <c r="AG30" s="19">
        <v>181</v>
      </c>
      <c r="AH30" s="19">
        <v>137</v>
      </c>
      <c r="AJ30" s="19">
        <v>221</v>
      </c>
      <c r="AK30" s="19">
        <v>190</v>
      </c>
      <c r="AM30" s="19" t="s">
        <v>283</v>
      </c>
      <c r="AN30" s="19">
        <v>145</v>
      </c>
      <c r="AO30" s="19">
        <v>333</v>
      </c>
      <c r="AP30" s="19">
        <v>188</v>
      </c>
      <c r="AS30" s="19">
        <v>203</v>
      </c>
      <c r="AT30" s="19" t="s">
        <v>318</v>
      </c>
      <c r="AU30" s="19">
        <v>179</v>
      </c>
      <c r="AV30" s="19">
        <v>71</v>
      </c>
      <c r="AW30" s="19">
        <v>418</v>
      </c>
      <c r="AX30" s="19">
        <v>113</v>
      </c>
      <c r="AY30" s="16">
        <v>187</v>
      </c>
      <c r="BA30" s="19">
        <v>255</v>
      </c>
      <c r="BB30" s="19">
        <v>131</v>
      </c>
      <c r="BC30" s="19">
        <v>189</v>
      </c>
      <c r="BE30" s="16">
        <v>367</v>
      </c>
      <c r="BF30" s="19">
        <v>233</v>
      </c>
      <c r="BG30" s="19">
        <v>127</v>
      </c>
      <c r="BH30" s="19">
        <v>272</v>
      </c>
    </row>
    <row r="31" spans="1:60" x14ac:dyDescent="0.25">
      <c r="A31" s="6" t="s">
        <v>140</v>
      </c>
      <c r="C31" s="16">
        <v>259</v>
      </c>
      <c r="D31" s="16">
        <v>94</v>
      </c>
      <c r="E31" s="19" t="s">
        <v>141</v>
      </c>
      <c r="F31" s="16">
        <v>348</v>
      </c>
      <c r="H31" s="19">
        <v>275</v>
      </c>
      <c r="I31" s="16">
        <v>222</v>
      </c>
      <c r="J31" s="16">
        <v>127</v>
      </c>
      <c r="L31" s="16">
        <v>199</v>
      </c>
      <c r="M31" s="19">
        <v>203</v>
      </c>
      <c r="N31" s="16">
        <v>304</v>
      </c>
      <c r="O31" s="19">
        <v>175</v>
      </c>
      <c r="P31" s="16">
        <v>171</v>
      </c>
      <c r="Q31" s="16">
        <v>325</v>
      </c>
      <c r="R31" s="16">
        <v>201</v>
      </c>
      <c r="S31" s="19">
        <v>374</v>
      </c>
      <c r="U31" s="19">
        <v>441</v>
      </c>
      <c r="V31" s="19">
        <v>253</v>
      </c>
      <c r="W31" s="19">
        <v>327</v>
      </c>
      <c r="X31" s="19">
        <v>216</v>
      </c>
      <c r="Y31" s="19">
        <v>247</v>
      </c>
      <c r="Z31" s="16">
        <v>272</v>
      </c>
      <c r="AA31" s="19">
        <v>122</v>
      </c>
      <c r="AB31" s="19">
        <v>489</v>
      </c>
      <c r="AG31" s="19">
        <v>198</v>
      </c>
      <c r="AH31" s="19">
        <v>145</v>
      </c>
      <c r="AJ31" s="19">
        <v>239</v>
      </c>
      <c r="AK31" s="19">
        <v>197</v>
      </c>
      <c r="AM31" s="19" t="s">
        <v>284</v>
      </c>
      <c r="AN31" s="19">
        <v>149</v>
      </c>
      <c r="AO31" s="19">
        <v>361</v>
      </c>
      <c r="AP31" s="19" t="s">
        <v>297</v>
      </c>
      <c r="AS31" s="19">
        <v>225</v>
      </c>
      <c r="AU31" s="19">
        <v>186</v>
      </c>
      <c r="AV31" s="19">
        <v>75</v>
      </c>
      <c r="AW31" s="19">
        <v>438</v>
      </c>
      <c r="AX31" s="19">
        <v>123</v>
      </c>
      <c r="AY31" s="16">
        <v>199</v>
      </c>
      <c r="BA31" s="19">
        <v>269</v>
      </c>
      <c r="BB31" s="19">
        <v>153</v>
      </c>
      <c r="BC31" s="19">
        <v>203</v>
      </c>
      <c r="BE31" s="16">
        <v>395</v>
      </c>
      <c r="BF31" s="19">
        <v>252</v>
      </c>
      <c r="BG31" s="19">
        <v>133</v>
      </c>
      <c r="BH31" s="19">
        <v>291</v>
      </c>
    </row>
    <row r="32" spans="1:60" x14ac:dyDescent="0.25">
      <c r="A32" s="6" t="s">
        <v>142</v>
      </c>
      <c r="C32" s="16">
        <v>271</v>
      </c>
      <c r="D32" s="16">
        <v>99</v>
      </c>
      <c r="F32" s="16">
        <v>371</v>
      </c>
      <c r="H32" s="19">
        <v>294</v>
      </c>
      <c r="I32" s="16">
        <v>229</v>
      </c>
      <c r="J32" s="16">
        <v>131</v>
      </c>
      <c r="L32" s="16">
        <v>212</v>
      </c>
      <c r="M32" s="19">
        <v>214</v>
      </c>
      <c r="N32" s="16">
        <v>311</v>
      </c>
      <c r="O32" s="19">
        <v>182</v>
      </c>
      <c r="P32" s="16">
        <v>181</v>
      </c>
      <c r="Q32" s="19" t="s">
        <v>143</v>
      </c>
      <c r="R32" s="16">
        <v>216</v>
      </c>
      <c r="S32" s="19">
        <v>400</v>
      </c>
      <c r="U32" s="19">
        <v>460</v>
      </c>
      <c r="V32" s="19">
        <v>265</v>
      </c>
      <c r="W32" s="19" t="s">
        <v>323</v>
      </c>
      <c r="X32" s="19">
        <v>227</v>
      </c>
      <c r="Y32" s="19">
        <v>259</v>
      </c>
      <c r="Z32" s="16">
        <v>285</v>
      </c>
      <c r="AA32" s="19">
        <v>131</v>
      </c>
      <c r="AB32" s="19" t="s">
        <v>144</v>
      </c>
      <c r="AG32" s="19">
        <v>215</v>
      </c>
      <c r="AH32" s="19">
        <v>153</v>
      </c>
      <c r="AJ32" s="19" t="s">
        <v>145</v>
      </c>
      <c r="AK32" s="19">
        <v>216</v>
      </c>
      <c r="AM32" s="19" t="s">
        <v>285</v>
      </c>
      <c r="AN32" s="19" t="s">
        <v>264</v>
      </c>
      <c r="AO32" s="19">
        <v>379</v>
      </c>
      <c r="AS32" s="19">
        <v>233</v>
      </c>
      <c r="AU32" s="19">
        <v>194</v>
      </c>
      <c r="AV32" s="19">
        <v>79</v>
      </c>
      <c r="AW32" s="19">
        <v>445</v>
      </c>
      <c r="AX32" s="19">
        <v>139</v>
      </c>
      <c r="AY32" s="16">
        <v>207</v>
      </c>
      <c r="BA32" s="19">
        <v>275</v>
      </c>
      <c r="BB32" s="19">
        <v>157</v>
      </c>
      <c r="BC32" s="19">
        <v>211</v>
      </c>
      <c r="BE32" s="16">
        <v>427</v>
      </c>
      <c r="BF32" s="19">
        <v>267</v>
      </c>
      <c r="BG32" s="19">
        <v>142</v>
      </c>
      <c r="BH32" s="19">
        <v>306</v>
      </c>
    </row>
    <row r="33" spans="1:60" x14ac:dyDescent="0.25">
      <c r="A33" s="6" t="s">
        <v>146</v>
      </c>
      <c r="C33" s="16">
        <v>288</v>
      </c>
      <c r="D33" s="16">
        <v>105</v>
      </c>
      <c r="F33" s="16">
        <v>400</v>
      </c>
      <c r="H33" s="19">
        <v>309</v>
      </c>
      <c r="I33" s="16">
        <v>254</v>
      </c>
      <c r="J33" s="16">
        <v>137</v>
      </c>
      <c r="L33" s="16">
        <v>223</v>
      </c>
      <c r="M33" s="19">
        <v>226</v>
      </c>
      <c r="N33" s="16">
        <v>330</v>
      </c>
      <c r="O33" s="19">
        <v>189</v>
      </c>
      <c r="P33" s="16">
        <v>186</v>
      </c>
      <c r="R33" s="16">
        <v>231</v>
      </c>
      <c r="S33" s="19">
        <v>428</v>
      </c>
      <c r="U33" s="19">
        <v>480</v>
      </c>
      <c r="V33" s="19">
        <v>279</v>
      </c>
      <c r="X33" s="19">
        <v>243</v>
      </c>
      <c r="Y33" s="19">
        <v>276</v>
      </c>
      <c r="Z33" s="16">
        <v>296</v>
      </c>
      <c r="AA33" s="19">
        <v>136</v>
      </c>
      <c r="AG33" s="19">
        <v>228</v>
      </c>
      <c r="AH33" s="19">
        <v>161</v>
      </c>
      <c r="AK33" s="19">
        <v>227</v>
      </c>
      <c r="AM33" s="19" t="s">
        <v>286</v>
      </c>
      <c r="AO33" s="19" t="s">
        <v>295</v>
      </c>
      <c r="AS33" s="19">
        <v>245</v>
      </c>
      <c r="AU33" s="19">
        <v>206</v>
      </c>
      <c r="AV33" s="19">
        <v>85</v>
      </c>
      <c r="AW33" s="19">
        <v>456</v>
      </c>
      <c r="AX33" s="19">
        <v>144</v>
      </c>
      <c r="AY33" s="16">
        <v>216</v>
      </c>
      <c r="BA33" s="19">
        <v>289</v>
      </c>
      <c r="BB33" s="19">
        <v>165</v>
      </c>
      <c r="BC33" s="19">
        <v>217</v>
      </c>
      <c r="BE33" s="16" t="s">
        <v>147</v>
      </c>
      <c r="BF33" s="19">
        <v>281</v>
      </c>
      <c r="BG33" s="19">
        <v>147</v>
      </c>
      <c r="BH33" s="19">
        <v>322</v>
      </c>
    </row>
    <row r="34" spans="1:60" x14ac:dyDescent="0.25">
      <c r="A34" s="6" t="s">
        <v>148</v>
      </c>
      <c r="C34" s="16">
        <v>301</v>
      </c>
      <c r="D34" s="16">
        <v>107</v>
      </c>
      <c r="F34" s="16">
        <v>418</v>
      </c>
      <c r="H34" s="19">
        <v>320</v>
      </c>
      <c r="I34" s="16">
        <v>262</v>
      </c>
      <c r="J34" s="16">
        <v>141</v>
      </c>
      <c r="L34" s="16">
        <v>232</v>
      </c>
      <c r="M34" s="19">
        <v>242</v>
      </c>
      <c r="N34" s="16">
        <v>348</v>
      </c>
      <c r="O34" s="19">
        <v>194</v>
      </c>
      <c r="P34" s="16">
        <v>195</v>
      </c>
      <c r="R34" s="16">
        <v>238</v>
      </c>
      <c r="S34" s="19">
        <v>446</v>
      </c>
      <c r="U34" s="19">
        <v>496</v>
      </c>
      <c r="V34" s="19">
        <v>288</v>
      </c>
      <c r="X34" s="19">
        <v>254</v>
      </c>
      <c r="Y34" s="19">
        <v>288</v>
      </c>
      <c r="Z34" s="16">
        <v>314</v>
      </c>
      <c r="AA34" s="19">
        <v>144</v>
      </c>
      <c r="AG34" s="19">
        <v>240</v>
      </c>
      <c r="AH34" s="19">
        <v>169</v>
      </c>
      <c r="AK34" s="19">
        <v>242</v>
      </c>
      <c r="AM34" s="19" t="s">
        <v>287</v>
      </c>
      <c r="AS34" s="19">
        <v>257</v>
      </c>
      <c r="AU34" s="19">
        <v>214</v>
      </c>
      <c r="AV34" s="19">
        <v>89</v>
      </c>
      <c r="AW34" s="19">
        <v>503</v>
      </c>
      <c r="AX34" s="19">
        <v>149</v>
      </c>
      <c r="AY34" s="16">
        <v>226</v>
      </c>
      <c r="BA34" s="19">
        <v>295</v>
      </c>
      <c r="BB34" s="19">
        <v>170</v>
      </c>
      <c r="BC34" s="19">
        <v>221</v>
      </c>
      <c r="BE34" s="16"/>
      <c r="BF34" s="19">
        <v>302</v>
      </c>
      <c r="BG34" s="19">
        <v>159</v>
      </c>
      <c r="BH34" s="19">
        <v>339</v>
      </c>
    </row>
    <row r="35" spans="1:60" x14ac:dyDescent="0.25">
      <c r="A35" s="6" t="s">
        <v>149</v>
      </c>
      <c r="C35" s="16">
        <v>307</v>
      </c>
      <c r="D35" s="16">
        <v>111</v>
      </c>
      <c r="F35" s="16">
        <v>437</v>
      </c>
      <c r="H35" s="19">
        <v>334</v>
      </c>
      <c r="I35" s="16">
        <v>268</v>
      </c>
      <c r="J35" s="16">
        <v>153</v>
      </c>
      <c r="L35" s="16">
        <v>246</v>
      </c>
      <c r="M35" s="19">
        <v>255</v>
      </c>
      <c r="N35" s="16">
        <v>364</v>
      </c>
      <c r="O35" s="19">
        <v>200</v>
      </c>
      <c r="P35" s="16">
        <v>204</v>
      </c>
      <c r="R35" s="16">
        <v>252</v>
      </c>
      <c r="S35" s="19">
        <v>467</v>
      </c>
      <c r="U35" s="19" t="s">
        <v>321</v>
      </c>
      <c r="V35" s="19">
        <v>300</v>
      </c>
      <c r="X35" s="19">
        <v>266</v>
      </c>
      <c r="Y35" s="19">
        <v>305</v>
      </c>
      <c r="Z35" s="16">
        <v>335</v>
      </c>
      <c r="AA35" s="19">
        <v>152</v>
      </c>
      <c r="AG35" s="19">
        <v>252</v>
      </c>
      <c r="AH35" s="19">
        <v>177</v>
      </c>
      <c r="AK35" s="19">
        <v>249</v>
      </c>
      <c r="AM35" s="19" t="s">
        <v>288</v>
      </c>
      <c r="AS35" s="19">
        <v>265</v>
      </c>
      <c r="AU35" s="19">
        <v>224</v>
      </c>
      <c r="AV35" s="19">
        <v>93</v>
      </c>
      <c r="AW35" s="19">
        <v>507</v>
      </c>
      <c r="AX35" s="19">
        <v>152</v>
      </c>
      <c r="AY35" s="16">
        <v>233</v>
      </c>
      <c r="BA35" s="19">
        <v>310</v>
      </c>
      <c r="BB35" s="19">
        <v>176</v>
      </c>
      <c r="BC35" s="19">
        <v>231</v>
      </c>
      <c r="BF35" s="19">
        <v>322</v>
      </c>
      <c r="BG35" s="19">
        <v>162</v>
      </c>
      <c r="BH35" s="19">
        <v>354</v>
      </c>
    </row>
    <row r="36" spans="1:60" x14ac:dyDescent="0.25">
      <c r="A36" s="6" t="s">
        <v>150</v>
      </c>
      <c r="C36" s="16">
        <v>322</v>
      </c>
      <c r="D36" s="16">
        <v>115</v>
      </c>
      <c r="F36" s="16">
        <v>455</v>
      </c>
      <c r="H36" s="19">
        <v>355</v>
      </c>
      <c r="I36" s="16">
        <v>287</v>
      </c>
      <c r="J36" s="16">
        <v>156</v>
      </c>
      <c r="L36" s="16">
        <v>257</v>
      </c>
      <c r="M36" s="19">
        <v>272</v>
      </c>
      <c r="N36" s="16">
        <v>374</v>
      </c>
      <c r="O36" s="19">
        <v>206</v>
      </c>
      <c r="P36" s="16">
        <v>209</v>
      </c>
      <c r="R36" s="16">
        <v>260</v>
      </c>
      <c r="S36" s="19">
        <v>485</v>
      </c>
      <c r="V36" s="19">
        <v>311</v>
      </c>
      <c r="X36" s="19">
        <v>278</v>
      </c>
      <c r="Y36" s="19">
        <v>318</v>
      </c>
      <c r="Z36" s="16">
        <v>348</v>
      </c>
      <c r="AA36" s="19">
        <v>156</v>
      </c>
      <c r="AG36" s="19">
        <v>264</v>
      </c>
      <c r="AH36" s="19">
        <v>185</v>
      </c>
      <c r="AK36" s="19">
        <v>269</v>
      </c>
      <c r="AM36" s="19" t="s">
        <v>289</v>
      </c>
      <c r="AS36" s="19">
        <v>271</v>
      </c>
      <c r="AU36" s="19">
        <v>234</v>
      </c>
      <c r="AV36" s="19">
        <v>95</v>
      </c>
      <c r="AW36" s="19">
        <v>544</v>
      </c>
      <c r="AX36" s="19">
        <v>159</v>
      </c>
      <c r="AY36" s="16">
        <v>242</v>
      </c>
      <c r="BA36" s="19">
        <v>320</v>
      </c>
      <c r="BB36" s="19">
        <v>187</v>
      </c>
      <c r="BC36" s="19">
        <v>239</v>
      </c>
      <c r="BF36" s="19">
        <v>340</v>
      </c>
      <c r="BG36" s="19">
        <v>167</v>
      </c>
      <c r="BH36" s="19">
        <v>370</v>
      </c>
    </row>
    <row r="37" spans="1:60" x14ac:dyDescent="0.25">
      <c r="A37" s="6" t="s">
        <v>151</v>
      </c>
      <c r="C37" s="16">
        <v>340</v>
      </c>
      <c r="D37" s="16">
        <v>117</v>
      </c>
      <c r="F37" s="16">
        <v>473</v>
      </c>
      <c r="H37" s="19">
        <v>379</v>
      </c>
      <c r="I37" s="16">
        <v>292</v>
      </c>
      <c r="J37" s="16">
        <v>160</v>
      </c>
      <c r="L37" s="16">
        <v>270</v>
      </c>
      <c r="M37" s="19">
        <v>287</v>
      </c>
      <c r="N37" s="16">
        <v>383</v>
      </c>
      <c r="O37" s="19">
        <v>212</v>
      </c>
      <c r="P37" s="16">
        <v>216</v>
      </c>
      <c r="R37" s="16">
        <v>271</v>
      </c>
      <c r="S37" s="19">
        <v>506</v>
      </c>
      <c r="V37" s="19">
        <v>318</v>
      </c>
      <c r="X37" s="19">
        <v>286</v>
      </c>
      <c r="Y37" s="19">
        <v>337</v>
      </c>
      <c r="Z37" s="16">
        <v>364</v>
      </c>
      <c r="AA37" s="19">
        <v>186</v>
      </c>
      <c r="AG37" s="19">
        <v>277</v>
      </c>
      <c r="AH37" s="19">
        <v>193</v>
      </c>
      <c r="AK37" s="19">
        <v>285</v>
      </c>
      <c r="AM37" s="19" t="s">
        <v>290</v>
      </c>
      <c r="AS37" s="19">
        <v>279</v>
      </c>
      <c r="AU37" s="19" t="s">
        <v>262</v>
      </c>
      <c r="AV37" s="19">
        <v>97</v>
      </c>
      <c r="AW37" s="19">
        <v>579</v>
      </c>
      <c r="AX37" s="19">
        <v>162</v>
      </c>
      <c r="AY37" s="16">
        <v>254</v>
      </c>
      <c r="BA37" s="19">
        <v>333</v>
      </c>
      <c r="BB37" s="19">
        <v>192</v>
      </c>
      <c r="BC37" s="19">
        <v>247</v>
      </c>
      <c r="BF37" s="19">
        <v>353</v>
      </c>
      <c r="BG37" s="19">
        <v>172</v>
      </c>
      <c r="BH37" s="19">
        <v>387</v>
      </c>
    </row>
    <row r="38" spans="1:60" x14ac:dyDescent="0.25">
      <c r="A38" s="6" t="s">
        <v>152</v>
      </c>
      <c r="C38" s="16" t="s">
        <v>153</v>
      </c>
      <c r="D38" s="16">
        <v>119</v>
      </c>
      <c r="F38" s="16">
        <v>491</v>
      </c>
      <c r="H38" s="19">
        <v>395</v>
      </c>
      <c r="I38" s="16">
        <v>308</v>
      </c>
      <c r="J38" s="16">
        <v>166</v>
      </c>
      <c r="L38" s="16">
        <v>284</v>
      </c>
      <c r="M38" s="19">
        <v>300</v>
      </c>
      <c r="N38" s="16" t="s">
        <v>154</v>
      </c>
      <c r="O38" s="19">
        <v>228</v>
      </c>
      <c r="P38" s="16">
        <v>224</v>
      </c>
      <c r="R38" s="16">
        <v>292</v>
      </c>
      <c r="S38" s="19">
        <v>525</v>
      </c>
      <c r="V38" s="19">
        <v>327</v>
      </c>
      <c r="X38" s="19">
        <v>298</v>
      </c>
      <c r="Y38" s="19">
        <v>352</v>
      </c>
      <c r="Z38" s="16">
        <v>378</v>
      </c>
      <c r="AA38" s="19">
        <v>180</v>
      </c>
      <c r="AG38" s="19">
        <v>288</v>
      </c>
      <c r="AH38" s="19">
        <v>201</v>
      </c>
      <c r="AK38" s="19">
        <v>298</v>
      </c>
      <c r="AS38" s="19">
        <v>293</v>
      </c>
      <c r="AV38" s="19">
        <v>103</v>
      </c>
      <c r="AW38" s="19">
        <v>591</v>
      </c>
      <c r="AX38" s="19">
        <v>166</v>
      </c>
      <c r="AY38" s="16">
        <v>265</v>
      </c>
      <c r="BA38" s="19">
        <v>345</v>
      </c>
      <c r="BB38" s="19">
        <v>198</v>
      </c>
      <c r="BC38" s="19">
        <v>257</v>
      </c>
      <c r="BF38" s="19">
        <v>367</v>
      </c>
      <c r="BG38" s="19">
        <v>180</v>
      </c>
      <c r="BH38" s="19">
        <v>404</v>
      </c>
    </row>
    <row r="39" spans="1:60" x14ac:dyDescent="0.25">
      <c r="A39" s="6" t="s">
        <v>155</v>
      </c>
      <c r="D39" s="16">
        <v>131</v>
      </c>
      <c r="F39" s="16">
        <v>511</v>
      </c>
      <c r="H39" s="19" t="s">
        <v>156</v>
      </c>
      <c r="I39" s="16">
        <v>319</v>
      </c>
      <c r="J39" s="16">
        <v>171</v>
      </c>
      <c r="L39" s="16">
        <v>296</v>
      </c>
      <c r="M39" s="19">
        <v>307</v>
      </c>
      <c r="O39" s="19">
        <v>234</v>
      </c>
      <c r="P39" s="16">
        <v>238</v>
      </c>
      <c r="R39" s="16">
        <v>305</v>
      </c>
      <c r="S39" s="19">
        <v>541</v>
      </c>
      <c r="X39" s="19">
        <v>312</v>
      </c>
      <c r="Y39" s="19">
        <v>365</v>
      </c>
      <c r="Z39" s="16">
        <v>398</v>
      </c>
      <c r="AA39" s="19">
        <v>188</v>
      </c>
      <c r="AG39" s="19">
        <v>297</v>
      </c>
      <c r="AH39" s="19">
        <v>209</v>
      </c>
      <c r="AK39" s="19">
        <v>306</v>
      </c>
      <c r="AS39" s="19">
        <v>297</v>
      </c>
      <c r="AV39" s="19">
        <v>109</v>
      </c>
      <c r="AW39" s="19">
        <v>606</v>
      </c>
      <c r="AX39" s="19">
        <v>173</v>
      </c>
      <c r="AY39" s="16">
        <v>277</v>
      </c>
      <c r="BA39" s="19">
        <v>351</v>
      </c>
      <c r="BB39" s="19">
        <v>213</v>
      </c>
      <c r="BC39" s="19">
        <v>265</v>
      </c>
      <c r="BF39" s="19">
        <v>380</v>
      </c>
      <c r="BG39" s="19">
        <v>189</v>
      </c>
      <c r="BH39" s="19" t="s">
        <v>293</v>
      </c>
    </row>
    <row r="40" spans="1:60" x14ac:dyDescent="0.25">
      <c r="A40" s="6" t="s">
        <v>157</v>
      </c>
      <c r="D40" s="16">
        <v>135</v>
      </c>
      <c r="F40" s="16">
        <v>531</v>
      </c>
      <c r="I40" s="16">
        <v>325</v>
      </c>
      <c r="J40" s="16">
        <v>179</v>
      </c>
      <c r="L40" s="16">
        <v>303</v>
      </c>
      <c r="M40" s="19" t="s">
        <v>309</v>
      </c>
      <c r="O40" s="19">
        <v>240</v>
      </c>
      <c r="P40" s="16">
        <v>257</v>
      </c>
      <c r="R40" s="16">
        <v>315</v>
      </c>
      <c r="S40" s="19">
        <v>560</v>
      </c>
      <c r="X40" s="19">
        <v>324</v>
      </c>
      <c r="Y40" s="19">
        <v>375</v>
      </c>
      <c r="Z40" s="16">
        <v>414</v>
      </c>
      <c r="AA40" s="19">
        <v>194</v>
      </c>
      <c r="AG40" s="19">
        <v>309</v>
      </c>
      <c r="AH40" s="19">
        <v>217</v>
      </c>
      <c r="AK40" s="19">
        <v>314</v>
      </c>
      <c r="AS40" s="19">
        <v>307</v>
      </c>
      <c r="AV40" s="19">
        <v>113</v>
      </c>
      <c r="AW40" s="19">
        <v>641</v>
      </c>
      <c r="AX40" s="19">
        <v>177</v>
      </c>
      <c r="AY40" s="16">
        <v>290</v>
      </c>
      <c r="BA40" s="19">
        <v>367</v>
      </c>
      <c r="BB40" s="19">
        <v>227</v>
      </c>
      <c r="BC40" s="19">
        <v>277</v>
      </c>
      <c r="BF40" s="19">
        <v>398</v>
      </c>
      <c r="BG40" s="19">
        <v>195</v>
      </c>
    </row>
    <row r="41" spans="1:60" x14ac:dyDescent="0.25">
      <c r="A41" s="6" t="s">
        <v>158</v>
      </c>
      <c r="D41" s="16">
        <v>142</v>
      </c>
      <c r="F41" s="16">
        <v>551</v>
      </c>
      <c r="I41" s="16">
        <v>331</v>
      </c>
      <c r="J41" s="16">
        <v>188</v>
      </c>
      <c r="L41" s="16">
        <v>315</v>
      </c>
      <c r="O41" s="19">
        <v>247</v>
      </c>
      <c r="P41" s="16">
        <v>271</v>
      </c>
      <c r="R41" s="16">
        <v>326</v>
      </c>
      <c r="S41" s="19">
        <v>579</v>
      </c>
      <c r="X41" s="19">
        <v>339</v>
      </c>
      <c r="Y41" s="19">
        <v>387</v>
      </c>
      <c r="Z41" s="16">
        <v>428</v>
      </c>
      <c r="AA41" s="19">
        <v>200</v>
      </c>
      <c r="AG41" s="19">
        <v>320</v>
      </c>
      <c r="AH41" s="19">
        <v>225</v>
      </c>
      <c r="AK41" s="19">
        <v>325</v>
      </c>
      <c r="AS41" s="19">
        <v>319</v>
      </c>
      <c r="AV41" s="19">
        <v>115</v>
      </c>
      <c r="AW41" s="19">
        <v>666</v>
      </c>
      <c r="AX41" s="19">
        <v>194</v>
      </c>
      <c r="AY41" s="16">
        <v>306</v>
      </c>
      <c r="BA41" s="19">
        <v>376</v>
      </c>
      <c r="BB41" s="19">
        <v>236</v>
      </c>
      <c r="BC41" s="19">
        <v>279</v>
      </c>
      <c r="BF41" s="19">
        <v>407</v>
      </c>
      <c r="BG41" s="19">
        <v>203</v>
      </c>
    </row>
    <row r="42" spans="1:60" x14ac:dyDescent="0.25">
      <c r="A42" s="6" t="s">
        <v>159</v>
      </c>
      <c r="D42" s="16">
        <v>154</v>
      </c>
      <c r="F42" s="16">
        <v>578</v>
      </c>
      <c r="I42" s="16">
        <v>350</v>
      </c>
      <c r="J42" s="16">
        <v>199</v>
      </c>
      <c r="L42" s="16">
        <v>325</v>
      </c>
      <c r="O42" s="19">
        <v>253</v>
      </c>
      <c r="P42" s="16">
        <v>283</v>
      </c>
      <c r="R42" s="16">
        <v>336</v>
      </c>
      <c r="S42" s="19">
        <v>601</v>
      </c>
      <c r="X42" s="19">
        <v>349</v>
      </c>
      <c r="Y42" s="19">
        <v>399</v>
      </c>
      <c r="Z42" s="16">
        <v>446</v>
      </c>
      <c r="AA42" s="19">
        <v>205</v>
      </c>
      <c r="AG42" s="19">
        <v>331</v>
      </c>
      <c r="AH42" s="19">
        <v>233</v>
      </c>
      <c r="AK42" s="19" t="s">
        <v>160</v>
      </c>
      <c r="AS42" s="19" t="s">
        <v>161</v>
      </c>
      <c r="AV42" s="19">
        <v>121</v>
      </c>
      <c r="AW42" s="19" t="s">
        <v>162</v>
      </c>
      <c r="AX42" s="19">
        <v>204</v>
      </c>
      <c r="AY42" s="16">
        <v>320</v>
      </c>
      <c r="BA42" s="19">
        <v>387</v>
      </c>
      <c r="BB42" s="19">
        <v>242</v>
      </c>
      <c r="BC42" s="19">
        <v>283</v>
      </c>
      <c r="BF42" s="19" t="s">
        <v>163</v>
      </c>
      <c r="BG42" s="19">
        <v>207</v>
      </c>
    </row>
    <row r="43" spans="1:60" x14ac:dyDescent="0.25">
      <c r="A43" s="6" t="s">
        <v>164</v>
      </c>
      <c r="D43" s="16">
        <v>158</v>
      </c>
      <c r="F43" s="16">
        <v>598</v>
      </c>
      <c r="I43" s="16">
        <v>359</v>
      </c>
      <c r="J43" s="16">
        <v>208</v>
      </c>
      <c r="L43" s="16">
        <v>337</v>
      </c>
      <c r="O43" s="19">
        <v>261</v>
      </c>
      <c r="P43" s="16">
        <v>289</v>
      </c>
      <c r="R43" s="16">
        <v>345</v>
      </c>
      <c r="S43" s="19">
        <v>622</v>
      </c>
      <c r="X43" s="19">
        <v>362</v>
      </c>
      <c r="Y43" s="19">
        <v>415</v>
      </c>
      <c r="Z43" s="16">
        <v>458</v>
      </c>
      <c r="AA43" s="19">
        <v>210</v>
      </c>
      <c r="AG43" s="19">
        <v>344</v>
      </c>
      <c r="AH43" s="19">
        <v>241</v>
      </c>
      <c r="AV43" s="19">
        <v>127</v>
      </c>
      <c r="AX43" s="19">
        <v>209</v>
      </c>
      <c r="AY43" s="16">
        <v>328</v>
      </c>
      <c r="BA43" s="19">
        <v>397</v>
      </c>
      <c r="BB43" s="19">
        <v>248</v>
      </c>
      <c r="BC43" s="19">
        <v>289</v>
      </c>
      <c r="BG43" s="19">
        <v>214</v>
      </c>
    </row>
    <row r="44" spans="1:60" x14ac:dyDescent="0.25">
      <c r="A44" s="6" t="s">
        <v>165</v>
      </c>
      <c r="D44" s="16">
        <v>162</v>
      </c>
      <c r="F44" s="16">
        <v>616</v>
      </c>
      <c r="I44" s="16">
        <v>368</v>
      </c>
      <c r="J44" s="16">
        <v>213</v>
      </c>
      <c r="L44" s="16">
        <v>348</v>
      </c>
      <c r="O44" s="19">
        <v>271</v>
      </c>
      <c r="P44" s="16">
        <v>306</v>
      </c>
      <c r="R44" s="16">
        <v>362</v>
      </c>
      <c r="S44" s="19">
        <v>640</v>
      </c>
      <c r="X44" s="19">
        <v>371</v>
      </c>
      <c r="Y44" s="19">
        <v>428</v>
      </c>
      <c r="Z44" s="16">
        <v>471</v>
      </c>
      <c r="AA44" s="19">
        <v>221</v>
      </c>
      <c r="AG44" s="19">
        <v>357</v>
      </c>
      <c r="AH44" s="19" t="s">
        <v>303</v>
      </c>
      <c r="AV44" s="19">
        <v>137</v>
      </c>
      <c r="AX44" s="19">
        <v>220</v>
      </c>
      <c r="AY44" s="16">
        <v>338</v>
      </c>
      <c r="BA44" s="19">
        <v>405</v>
      </c>
      <c r="BB44" s="19">
        <v>256</v>
      </c>
      <c r="BC44" s="19">
        <v>299</v>
      </c>
      <c r="BG44" s="19">
        <v>221</v>
      </c>
    </row>
    <row r="45" spans="1:60" x14ac:dyDescent="0.25">
      <c r="A45" s="6" t="s">
        <v>166</v>
      </c>
      <c r="D45" s="16">
        <v>170</v>
      </c>
      <c r="F45" s="16">
        <v>635</v>
      </c>
      <c r="I45" s="16">
        <v>381</v>
      </c>
      <c r="J45" s="16">
        <v>220</v>
      </c>
      <c r="L45" s="16">
        <v>360</v>
      </c>
      <c r="O45" s="19">
        <v>280</v>
      </c>
      <c r="P45" s="16">
        <v>323</v>
      </c>
      <c r="R45" s="16">
        <v>369</v>
      </c>
      <c r="S45" s="19">
        <v>656</v>
      </c>
      <c r="X45" s="19">
        <v>379</v>
      </c>
      <c r="Y45" s="19">
        <v>442</v>
      </c>
      <c r="Z45" s="16">
        <v>484</v>
      </c>
      <c r="AA45" s="19">
        <v>230</v>
      </c>
      <c r="AG45" s="19">
        <v>367</v>
      </c>
      <c r="AV45" s="19">
        <v>141</v>
      </c>
      <c r="AX45" s="19">
        <v>228</v>
      </c>
      <c r="AY45" s="16">
        <v>348</v>
      </c>
      <c r="BA45" s="19">
        <v>410</v>
      </c>
      <c r="BB45" s="19">
        <v>269</v>
      </c>
      <c r="BC45" s="19">
        <v>309</v>
      </c>
      <c r="BG45" s="19">
        <v>225</v>
      </c>
    </row>
    <row r="46" spans="1:60" x14ac:dyDescent="0.25">
      <c r="A46" s="6" t="s">
        <v>167</v>
      </c>
      <c r="D46" s="16">
        <v>178</v>
      </c>
      <c r="F46" s="16">
        <v>653</v>
      </c>
      <c r="I46" s="16">
        <v>395</v>
      </c>
      <c r="J46" s="16">
        <v>224</v>
      </c>
      <c r="L46" s="16" t="s">
        <v>168</v>
      </c>
      <c r="O46" s="19">
        <v>284</v>
      </c>
      <c r="P46" s="16">
        <v>343</v>
      </c>
      <c r="R46" s="16">
        <v>388</v>
      </c>
      <c r="S46" s="19">
        <v>672</v>
      </c>
      <c r="X46" s="19">
        <v>389</v>
      </c>
      <c r="Y46" s="19">
        <v>452</v>
      </c>
      <c r="Z46" s="16">
        <v>496</v>
      </c>
      <c r="AA46" s="19">
        <v>242</v>
      </c>
      <c r="AG46" s="19">
        <v>380</v>
      </c>
      <c r="AV46" s="19">
        <v>143</v>
      </c>
      <c r="AX46" s="19">
        <v>235</v>
      </c>
      <c r="AY46" s="16">
        <v>361</v>
      </c>
      <c r="BA46" s="19">
        <v>417</v>
      </c>
      <c r="BB46" s="19">
        <v>276</v>
      </c>
      <c r="BC46" s="19">
        <v>317</v>
      </c>
      <c r="BG46" s="19">
        <v>231</v>
      </c>
    </row>
    <row r="47" spans="1:60" x14ac:dyDescent="0.25">
      <c r="A47" s="6" t="s">
        <v>169</v>
      </c>
      <c r="D47" s="16">
        <v>188</v>
      </c>
      <c r="F47" s="16">
        <v>673</v>
      </c>
      <c r="I47" s="16">
        <v>398</v>
      </c>
      <c r="J47" s="16">
        <v>230</v>
      </c>
      <c r="O47" s="19">
        <v>288</v>
      </c>
      <c r="P47" s="16">
        <v>358</v>
      </c>
      <c r="R47" s="16">
        <v>397</v>
      </c>
      <c r="S47" s="19">
        <v>691</v>
      </c>
      <c r="X47" s="19">
        <v>401</v>
      </c>
      <c r="Y47" s="19">
        <v>458</v>
      </c>
      <c r="Z47" s="16">
        <v>505</v>
      </c>
      <c r="AA47" s="19">
        <v>251</v>
      </c>
      <c r="AG47" s="19">
        <v>390</v>
      </c>
      <c r="AV47" s="19">
        <v>147</v>
      </c>
      <c r="AX47" s="19">
        <v>241</v>
      </c>
      <c r="AY47" s="16">
        <v>369</v>
      </c>
      <c r="BA47" s="19">
        <v>433</v>
      </c>
      <c r="BB47" s="19">
        <v>286</v>
      </c>
      <c r="BC47" s="19">
        <v>337</v>
      </c>
      <c r="BG47" s="19">
        <v>235</v>
      </c>
    </row>
    <row r="48" spans="1:60" x14ac:dyDescent="0.25">
      <c r="A48" s="6" t="s">
        <v>170</v>
      </c>
      <c r="D48" s="16">
        <v>194</v>
      </c>
      <c r="F48" s="19">
        <v>696</v>
      </c>
      <c r="I48" s="19">
        <v>405</v>
      </c>
      <c r="J48" s="16">
        <v>235</v>
      </c>
      <c r="O48" s="19">
        <v>295</v>
      </c>
      <c r="P48" s="16">
        <v>368</v>
      </c>
      <c r="R48" s="16">
        <v>412</v>
      </c>
      <c r="S48" s="19">
        <v>714</v>
      </c>
      <c r="X48" s="19">
        <v>412</v>
      </c>
      <c r="Y48" s="19">
        <v>473</v>
      </c>
      <c r="Z48" s="16">
        <v>520</v>
      </c>
      <c r="AA48" s="19">
        <v>253</v>
      </c>
      <c r="AG48" s="19" t="s">
        <v>254</v>
      </c>
      <c r="AV48" s="19">
        <v>151</v>
      </c>
      <c r="AX48" s="19">
        <v>246</v>
      </c>
      <c r="AY48" s="16">
        <v>381</v>
      </c>
      <c r="BA48" s="19">
        <v>452</v>
      </c>
      <c r="BB48" s="19">
        <v>296</v>
      </c>
      <c r="BC48" s="19">
        <v>351</v>
      </c>
      <c r="BG48" s="19">
        <v>239</v>
      </c>
    </row>
    <row r="49" spans="1:59" x14ac:dyDescent="0.25">
      <c r="A49" s="6" t="s">
        <v>171</v>
      </c>
      <c r="D49" s="16">
        <v>198</v>
      </c>
      <c r="F49" s="16" t="s">
        <v>172</v>
      </c>
      <c r="I49" s="16">
        <v>412</v>
      </c>
      <c r="J49" s="16">
        <v>241</v>
      </c>
      <c r="O49" s="19">
        <v>297</v>
      </c>
      <c r="P49" s="16">
        <v>383</v>
      </c>
      <c r="R49" s="16">
        <v>424</v>
      </c>
      <c r="S49" s="19">
        <v>740</v>
      </c>
      <c r="X49" s="19">
        <v>419</v>
      </c>
      <c r="Y49" s="19">
        <v>485</v>
      </c>
      <c r="Z49" s="16">
        <v>534</v>
      </c>
      <c r="AA49" s="19">
        <v>262</v>
      </c>
      <c r="AV49" s="19">
        <v>157</v>
      </c>
      <c r="AX49" s="19">
        <v>250</v>
      </c>
      <c r="AY49" s="16">
        <v>395</v>
      </c>
      <c r="BA49" s="19">
        <v>460</v>
      </c>
      <c r="BB49" s="19">
        <v>306</v>
      </c>
      <c r="BC49" s="19">
        <v>369</v>
      </c>
      <c r="BG49" s="19">
        <v>250</v>
      </c>
    </row>
    <row r="50" spans="1:59" x14ac:dyDescent="0.25">
      <c r="A50" s="6" t="s">
        <v>173</v>
      </c>
      <c r="D50" s="16">
        <v>199</v>
      </c>
      <c r="I50" s="16">
        <v>426</v>
      </c>
      <c r="J50" s="16">
        <v>256</v>
      </c>
      <c r="O50" s="19">
        <v>301</v>
      </c>
      <c r="P50" s="16">
        <v>395</v>
      </c>
      <c r="R50" s="16">
        <v>434</v>
      </c>
      <c r="S50" s="19">
        <v>757</v>
      </c>
      <c r="X50" s="19">
        <v>435</v>
      </c>
      <c r="Y50" s="19" t="s">
        <v>325</v>
      </c>
      <c r="Z50" s="16">
        <v>542</v>
      </c>
      <c r="AA50" s="19">
        <v>269</v>
      </c>
      <c r="AV50" s="19">
        <v>169</v>
      </c>
      <c r="AX50" s="19" t="s">
        <v>255</v>
      </c>
      <c r="AY50" s="16">
        <v>407</v>
      </c>
      <c r="BA50" s="19">
        <v>467</v>
      </c>
      <c r="BB50" s="19">
        <v>314</v>
      </c>
      <c r="BC50" s="19">
        <v>385</v>
      </c>
      <c r="BG50" s="19">
        <v>254</v>
      </c>
    </row>
    <row r="51" spans="1:59" x14ac:dyDescent="0.25">
      <c r="A51" s="6" t="s">
        <v>174</v>
      </c>
      <c r="D51" s="16">
        <v>207</v>
      </c>
      <c r="I51" s="16">
        <v>434</v>
      </c>
      <c r="J51" s="16">
        <v>258</v>
      </c>
      <c r="O51" s="19">
        <v>305</v>
      </c>
      <c r="P51" s="16">
        <v>402</v>
      </c>
      <c r="R51" s="16">
        <v>458</v>
      </c>
      <c r="S51" s="19">
        <v>775</v>
      </c>
      <c r="X51" s="19" t="s">
        <v>316</v>
      </c>
      <c r="Z51" s="16">
        <v>558</v>
      </c>
      <c r="AA51" s="19">
        <v>276</v>
      </c>
      <c r="AV51" s="19">
        <v>173</v>
      </c>
      <c r="AY51" s="16">
        <v>420</v>
      </c>
      <c r="BA51" s="19">
        <v>478</v>
      </c>
      <c r="BB51" s="19">
        <v>339</v>
      </c>
      <c r="BC51" s="19">
        <v>391</v>
      </c>
      <c r="BG51" s="19">
        <v>258</v>
      </c>
    </row>
    <row r="52" spans="1:59" x14ac:dyDescent="0.25">
      <c r="A52" s="6" t="s">
        <v>175</v>
      </c>
      <c r="D52" s="16">
        <v>216</v>
      </c>
      <c r="I52" s="16">
        <v>445</v>
      </c>
      <c r="J52" s="16">
        <v>261</v>
      </c>
      <c r="O52" s="19">
        <v>313</v>
      </c>
      <c r="P52" s="16">
        <v>404</v>
      </c>
      <c r="R52" s="16">
        <v>468</v>
      </c>
      <c r="S52" s="19">
        <v>792</v>
      </c>
      <c r="Z52" s="16">
        <v>568</v>
      </c>
      <c r="AA52" s="19">
        <v>285</v>
      </c>
      <c r="AV52" s="19">
        <v>179</v>
      </c>
      <c r="AY52" s="16">
        <v>431</v>
      </c>
      <c r="BA52" s="19">
        <v>483</v>
      </c>
      <c r="BB52" s="19" t="s">
        <v>311</v>
      </c>
      <c r="BC52" s="19" t="s">
        <v>307</v>
      </c>
      <c r="BG52" s="19">
        <v>261</v>
      </c>
    </row>
    <row r="53" spans="1:59" x14ac:dyDescent="0.25">
      <c r="A53" s="6" t="s">
        <v>176</v>
      </c>
      <c r="D53" s="16">
        <v>222</v>
      </c>
      <c r="I53" s="16" t="s">
        <v>177</v>
      </c>
      <c r="J53" s="16">
        <v>270</v>
      </c>
      <c r="O53" s="19" t="s">
        <v>314</v>
      </c>
      <c r="R53" s="16">
        <v>486</v>
      </c>
      <c r="S53" s="19">
        <v>809</v>
      </c>
      <c r="Z53" s="16">
        <v>585</v>
      </c>
      <c r="AA53" s="19">
        <v>295</v>
      </c>
      <c r="AV53" s="19">
        <v>181</v>
      </c>
      <c r="AY53" s="16">
        <v>446</v>
      </c>
      <c r="BA53" s="19" t="s">
        <v>178</v>
      </c>
      <c r="BG53" s="19">
        <v>264</v>
      </c>
    </row>
    <row r="54" spans="1:59" x14ac:dyDescent="0.25">
      <c r="A54" s="6" t="s">
        <v>179</v>
      </c>
      <c r="D54" s="16">
        <v>225</v>
      </c>
      <c r="J54" s="16">
        <v>277</v>
      </c>
      <c r="R54" s="16">
        <v>490</v>
      </c>
      <c r="S54" s="19">
        <v>828</v>
      </c>
      <c r="Z54" s="16">
        <v>595</v>
      </c>
      <c r="AA54" s="19">
        <v>302</v>
      </c>
      <c r="AV54" s="19">
        <v>183</v>
      </c>
      <c r="AY54" s="16">
        <v>457</v>
      </c>
      <c r="BG54" s="19">
        <v>267</v>
      </c>
    </row>
    <row r="55" spans="1:59" x14ac:dyDescent="0.25">
      <c r="A55" s="6" t="s">
        <v>180</v>
      </c>
      <c r="D55" s="16">
        <v>228</v>
      </c>
      <c r="J55" s="16">
        <v>281</v>
      </c>
      <c r="R55" s="16">
        <v>501</v>
      </c>
      <c r="S55" s="19">
        <v>852</v>
      </c>
      <c r="Z55" s="16">
        <v>608</v>
      </c>
      <c r="AA55" s="19">
        <v>315</v>
      </c>
      <c r="AV55" s="19">
        <v>185</v>
      </c>
      <c r="AY55" s="16">
        <v>467</v>
      </c>
      <c r="BG55" s="19">
        <v>269</v>
      </c>
    </row>
    <row r="56" spans="1:59" x14ac:dyDescent="0.25">
      <c r="A56" s="6" t="s">
        <v>181</v>
      </c>
      <c r="D56" s="16">
        <v>230</v>
      </c>
      <c r="J56" s="16">
        <v>235</v>
      </c>
      <c r="R56" s="16" t="s">
        <v>182</v>
      </c>
      <c r="S56" s="19">
        <v>871</v>
      </c>
      <c r="Z56" s="16">
        <v>621</v>
      </c>
      <c r="AA56" s="19">
        <v>321</v>
      </c>
      <c r="AV56" s="19">
        <v>189</v>
      </c>
      <c r="AY56" s="16">
        <v>478</v>
      </c>
      <c r="BG56" s="19">
        <v>274</v>
      </c>
    </row>
    <row r="57" spans="1:59" x14ac:dyDescent="0.25">
      <c r="A57" s="6" t="s">
        <v>183</v>
      </c>
      <c r="D57" s="16">
        <v>235</v>
      </c>
      <c r="J57" s="16">
        <v>298</v>
      </c>
      <c r="S57" s="19">
        <v>896</v>
      </c>
      <c r="Z57" s="16">
        <v>641</v>
      </c>
      <c r="AA57" s="19">
        <v>328</v>
      </c>
      <c r="AV57" s="19">
        <v>193</v>
      </c>
      <c r="AY57" s="16">
        <v>488</v>
      </c>
      <c r="BG57" s="19">
        <v>284</v>
      </c>
    </row>
    <row r="58" spans="1:59" x14ac:dyDescent="0.25">
      <c r="A58" s="6" t="s">
        <v>184</v>
      </c>
      <c r="D58" s="16">
        <v>240</v>
      </c>
      <c r="J58" s="16">
        <v>311</v>
      </c>
      <c r="S58" s="19">
        <v>917</v>
      </c>
      <c r="Z58" s="16" t="s">
        <v>185</v>
      </c>
      <c r="AA58" s="19">
        <v>338</v>
      </c>
      <c r="AV58" s="19">
        <v>201</v>
      </c>
      <c r="AY58" s="16">
        <v>499</v>
      </c>
      <c r="BG58" s="19">
        <v>290</v>
      </c>
    </row>
    <row r="59" spans="1:59" x14ac:dyDescent="0.25">
      <c r="A59" s="6" t="s">
        <v>186</v>
      </c>
      <c r="D59" s="16">
        <v>247</v>
      </c>
      <c r="J59" s="16">
        <v>318</v>
      </c>
      <c r="S59" s="19" t="s">
        <v>187</v>
      </c>
      <c r="AA59" s="19">
        <v>346</v>
      </c>
      <c r="AV59" s="19">
        <v>209</v>
      </c>
      <c r="AY59" s="16">
        <v>512</v>
      </c>
      <c r="BG59" s="19">
        <v>295</v>
      </c>
    </row>
    <row r="60" spans="1:59" x14ac:dyDescent="0.25">
      <c r="A60" s="6" t="s">
        <v>188</v>
      </c>
      <c r="D60" s="16">
        <v>255</v>
      </c>
      <c r="J60" s="16">
        <v>329</v>
      </c>
      <c r="AA60" s="19">
        <v>355</v>
      </c>
      <c r="AV60" s="19">
        <v>229</v>
      </c>
      <c r="AY60" s="16">
        <v>524</v>
      </c>
      <c r="BG60" s="19">
        <v>301</v>
      </c>
    </row>
    <row r="61" spans="1:59" x14ac:dyDescent="0.25">
      <c r="A61" s="6" t="s">
        <v>189</v>
      </c>
      <c r="D61" s="16">
        <v>259</v>
      </c>
      <c r="J61" s="16">
        <v>337</v>
      </c>
      <c r="AA61" s="19">
        <v>359</v>
      </c>
      <c r="AV61" s="19">
        <v>233</v>
      </c>
      <c r="AY61" s="16">
        <v>536</v>
      </c>
      <c r="BG61" s="19">
        <v>306</v>
      </c>
    </row>
    <row r="62" spans="1:59" x14ac:dyDescent="0.25">
      <c r="A62" s="6" t="s">
        <v>190</v>
      </c>
      <c r="D62" s="16">
        <v>264</v>
      </c>
      <c r="J62" s="16">
        <v>344</v>
      </c>
      <c r="AA62" s="19">
        <v>369</v>
      </c>
      <c r="AV62" s="19">
        <v>235</v>
      </c>
      <c r="AY62" s="16">
        <v>551</v>
      </c>
      <c r="BG62" s="19">
        <v>310</v>
      </c>
    </row>
    <row r="63" spans="1:59" x14ac:dyDescent="0.25">
      <c r="A63" s="6" t="s">
        <v>191</v>
      </c>
      <c r="D63" s="16">
        <v>268</v>
      </c>
      <c r="J63" s="16">
        <v>352</v>
      </c>
      <c r="AA63" s="19">
        <v>372</v>
      </c>
      <c r="AV63" s="19">
        <v>243</v>
      </c>
      <c r="AY63" s="16">
        <v>562</v>
      </c>
      <c r="BG63" s="19">
        <v>315</v>
      </c>
    </row>
    <row r="64" spans="1:59" x14ac:dyDescent="0.25">
      <c r="A64" s="6" t="s">
        <v>192</v>
      </c>
      <c r="D64" s="16">
        <v>269</v>
      </c>
      <c r="J64" s="16">
        <v>358</v>
      </c>
      <c r="AA64" s="19">
        <v>375</v>
      </c>
      <c r="AV64" s="19">
        <v>247</v>
      </c>
      <c r="AY64" s="16">
        <v>575</v>
      </c>
      <c r="BG64" s="19">
        <v>320</v>
      </c>
    </row>
    <row r="65" spans="1:59" x14ac:dyDescent="0.25">
      <c r="A65" s="6" t="s">
        <v>193</v>
      </c>
      <c r="D65" s="16">
        <v>270</v>
      </c>
      <c r="J65" s="16">
        <v>366</v>
      </c>
      <c r="AA65" s="19">
        <v>385</v>
      </c>
      <c r="AY65" s="16">
        <v>584</v>
      </c>
      <c r="BG65" s="19">
        <v>327</v>
      </c>
    </row>
    <row r="66" spans="1:59" x14ac:dyDescent="0.25">
      <c r="A66" s="6" t="s">
        <v>194</v>
      </c>
      <c r="D66" s="16">
        <v>279</v>
      </c>
      <c r="J66" s="16">
        <v>370</v>
      </c>
      <c r="AA66" s="19">
        <v>398</v>
      </c>
      <c r="AY66" s="16" t="s">
        <v>195</v>
      </c>
      <c r="BG66" s="19">
        <v>331</v>
      </c>
    </row>
    <row r="67" spans="1:59" x14ac:dyDescent="0.25">
      <c r="A67" s="6" t="s">
        <v>196</v>
      </c>
      <c r="D67" s="16">
        <v>281</v>
      </c>
      <c r="J67" s="16">
        <v>372</v>
      </c>
      <c r="AA67" s="19">
        <v>391</v>
      </c>
      <c r="BG67" s="19">
        <v>337</v>
      </c>
    </row>
    <row r="68" spans="1:59" x14ac:dyDescent="0.25">
      <c r="A68" s="6" t="s">
        <v>197</v>
      </c>
      <c r="D68" s="16">
        <v>286</v>
      </c>
      <c r="J68" s="16">
        <v>392</v>
      </c>
      <c r="AA68" s="19">
        <v>395</v>
      </c>
      <c r="BG68" s="19">
        <v>345</v>
      </c>
    </row>
    <row r="69" spans="1:59" x14ac:dyDescent="0.25">
      <c r="A69" s="6" t="s">
        <v>198</v>
      </c>
      <c r="D69" s="16">
        <v>289</v>
      </c>
      <c r="J69" s="16">
        <v>398</v>
      </c>
      <c r="AA69" s="19" t="s">
        <v>305</v>
      </c>
      <c r="BG69" s="19">
        <v>349</v>
      </c>
    </row>
    <row r="70" spans="1:59" x14ac:dyDescent="0.25">
      <c r="A70" s="6" t="s">
        <v>199</v>
      </c>
      <c r="D70" s="16">
        <v>296</v>
      </c>
      <c r="J70" s="16">
        <v>402</v>
      </c>
      <c r="BG70" s="19">
        <v>355</v>
      </c>
    </row>
    <row r="71" spans="1:59" x14ac:dyDescent="0.25">
      <c r="A71" s="6" t="s">
        <v>200</v>
      </c>
      <c r="D71" s="16">
        <v>297</v>
      </c>
      <c r="J71" s="16">
        <v>404</v>
      </c>
      <c r="BG71" s="19">
        <v>362</v>
      </c>
    </row>
    <row r="72" spans="1:59" x14ac:dyDescent="0.25">
      <c r="A72" s="6" t="s">
        <v>201</v>
      </c>
      <c r="D72" s="16">
        <v>298</v>
      </c>
      <c r="J72" s="16">
        <v>430</v>
      </c>
      <c r="BG72" s="19">
        <v>369</v>
      </c>
    </row>
    <row r="73" spans="1:59" x14ac:dyDescent="0.25">
      <c r="A73" s="6" t="s">
        <v>202</v>
      </c>
      <c r="D73" s="16">
        <v>299</v>
      </c>
      <c r="J73" s="16">
        <v>435</v>
      </c>
      <c r="BG73" s="19">
        <v>372</v>
      </c>
    </row>
    <row r="74" spans="1:59" x14ac:dyDescent="0.25">
      <c r="A74" s="6" t="s">
        <v>203</v>
      </c>
      <c r="D74" s="16">
        <v>301</v>
      </c>
      <c r="J74" s="16">
        <v>441</v>
      </c>
      <c r="BG74" s="19">
        <v>376</v>
      </c>
    </row>
    <row r="75" spans="1:59" x14ac:dyDescent="0.25">
      <c r="A75" s="6" t="s">
        <v>204</v>
      </c>
      <c r="D75" s="16">
        <v>311</v>
      </c>
      <c r="J75" s="16">
        <v>449</v>
      </c>
      <c r="BG75" s="19">
        <v>380</v>
      </c>
    </row>
    <row r="76" spans="1:59" x14ac:dyDescent="0.25">
      <c r="A76" s="6" t="s">
        <v>205</v>
      </c>
      <c r="D76" s="16">
        <v>313</v>
      </c>
      <c r="J76" s="16">
        <v>453</v>
      </c>
      <c r="BG76" s="19">
        <v>385</v>
      </c>
    </row>
    <row r="77" spans="1:59" x14ac:dyDescent="0.25">
      <c r="A77" s="6" t="s">
        <v>206</v>
      </c>
      <c r="D77" s="16">
        <v>314</v>
      </c>
      <c r="J77" s="16">
        <v>462</v>
      </c>
      <c r="BG77" s="19">
        <v>388</v>
      </c>
    </row>
    <row r="78" spans="1:59" x14ac:dyDescent="0.25">
      <c r="A78" s="6" t="s">
        <v>207</v>
      </c>
      <c r="D78" s="16">
        <v>314</v>
      </c>
      <c r="J78" s="16">
        <v>471</v>
      </c>
      <c r="BG78" s="19">
        <v>395</v>
      </c>
    </row>
    <row r="79" spans="1:59" x14ac:dyDescent="0.25">
      <c r="A79" s="6" t="s">
        <v>208</v>
      </c>
      <c r="D79" s="16">
        <v>323</v>
      </c>
      <c r="J79" s="16">
        <v>477</v>
      </c>
      <c r="BG79" s="19">
        <v>400</v>
      </c>
    </row>
    <row r="80" spans="1:59" x14ac:dyDescent="0.25">
      <c r="A80" s="6" t="s">
        <v>209</v>
      </c>
      <c r="D80" s="16">
        <v>326</v>
      </c>
      <c r="J80" s="16">
        <v>482</v>
      </c>
      <c r="BG80" s="19">
        <v>409</v>
      </c>
    </row>
    <row r="81" spans="1:59" x14ac:dyDescent="0.25">
      <c r="A81" s="6" t="s">
        <v>210</v>
      </c>
      <c r="D81" s="16">
        <v>331</v>
      </c>
      <c r="J81" s="16">
        <v>486</v>
      </c>
      <c r="BG81" s="19">
        <v>415</v>
      </c>
    </row>
    <row r="82" spans="1:59" x14ac:dyDescent="0.25">
      <c r="A82" s="6" t="s">
        <v>211</v>
      </c>
      <c r="D82" s="16">
        <v>333</v>
      </c>
      <c r="J82" s="16">
        <v>489</v>
      </c>
      <c r="BG82" s="19">
        <v>420</v>
      </c>
    </row>
    <row r="83" spans="1:59" x14ac:dyDescent="0.25">
      <c r="A83" s="6" t="s">
        <v>212</v>
      </c>
      <c r="D83" s="16">
        <v>336</v>
      </c>
      <c r="J83" s="16">
        <v>496</v>
      </c>
      <c r="BG83" s="19">
        <v>426</v>
      </c>
    </row>
    <row r="84" spans="1:59" x14ac:dyDescent="0.25">
      <c r="A84" s="6" t="s">
        <v>213</v>
      </c>
      <c r="D84" s="16">
        <v>339</v>
      </c>
      <c r="J84" s="16">
        <v>507</v>
      </c>
      <c r="BG84" s="19">
        <v>431</v>
      </c>
    </row>
    <row r="85" spans="1:59" x14ac:dyDescent="0.25">
      <c r="A85" s="6" t="s">
        <v>214</v>
      </c>
      <c r="D85" s="16">
        <v>344</v>
      </c>
      <c r="J85" s="16">
        <v>518</v>
      </c>
      <c r="BG85" s="19">
        <v>437</v>
      </c>
    </row>
    <row r="86" spans="1:59" x14ac:dyDescent="0.25">
      <c r="A86" s="6" t="s">
        <v>215</v>
      </c>
      <c r="D86" s="16">
        <v>346</v>
      </c>
      <c r="J86" s="16">
        <v>524</v>
      </c>
      <c r="BG86" s="19">
        <v>447</v>
      </c>
    </row>
    <row r="87" spans="1:59" x14ac:dyDescent="0.25">
      <c r="A87" s="6" t="s">
        <v>216</v>
      </c>
      <c r="D87" s="16">
        <v>349</v>
      </c>
      <c r="J87" s="16">
        <v>542</v>
      </c>
      <c r="BG87" s="19">
        <v>451</v>
      </c>
    </row>
    <row r="88" spans="1:59" x14ac:dyDescent="0.25">
      <c r="A88" s="6" t="s">
        <v>217</v>
      </c>
      <c r="D88" s="16">
        <v>359</v>
      </c>
      <c r="J88" s="16">
        <v>549</v>
      </c>
      <c r="BG88" s="19">
        <v>457</v>
      </c>
    </row>
    <row r="89" spans="1:59" x14ac:dyDescent="0.25">
      <c r="A89" s="6" t="s">
        <v>218</v>
      </c>
      <c r="D89" s="16">
        <v>362</v>
      </c>
      <c r="J89" s="16">
        <v>555</v>
      </c>
      <c r="BG89" s="19">
        <v>463</v>
      </c>
    </row>
    <row r="90" spans="1:59" x14ac:dyDescent="0.25">
      <c r="A90" s="6" t="s">
        <v>219</v>
      </c>
      <c r="D90" s="16">
        <v>364</v>
      </c>
      <c r="J90" s="16">
        <v>562</v>
      </c>
      <c r="BG90" s="19">
        <v>465</v>
      </c>
    </row>
    <row r="91" spans="1:59" x14ac:dyDescent="0.25">
      <c r="A91" s="6" t="s">
        <v>220</v>
      </c>
      <c r="J91" s="16">
        <v>570</v>
      </c>
      <c r="BG91" s="19">
        <v>472</v>
      </c>
    </row>
    <row r="92" spans="1:59" x14ac:dyDescent="0.25">
      <c r="A92" s="6" t="s">
        <v>221</v>
      </c>
      <c r="J92" s="16">
        <v>577</v>
      </c>
      <c r="BG92" s="19">
        <v>477</v>
      </c>
    </row>
    <row r="93" spans="1:59" x14ac:dyDescent="0.25">
      <c r="A93" s="6" t="s">
        <v>222</v>
      </c>
      <c r="J93" s="16">
        <v>583</v>
      </c>
      <c r="BG93" s="19">
        <v>484</v>
      </c>
    </row>
    <row r="94" spans="1:59" x14ac:dyDescent="0.25">
      <c r="A94" s="6" t="s">
        <v>223</v>
      </c>
      <c r="J94" s="16">
        <v>587</v>
      </c>
      <c r="BG94" s="19">
        <v>490</v>
      </c>
    </row>
    <row r="95" spans="1:59" x14ac:dyDescent="0.25">
      <c r="A95" s="6" t="s">
        <v>224</v>
      </c>
      <c r="J95" s="16">
        <v>594</v>
      </c>
      <c r="BG95" s="19">
        <v>495</v>
      </c>
    </row>
    <row r="96" spans="1:59" x14ac:dyDescent="0.25">
      <c r="A96" s="6" t="s">
        <v>225</v>
      </c>
      <c r="J96" s="16">
        <v>605</v>
      </c>
      <c r="BG96" s="19">
        <v>499</v>
      </c>
    </row>
    <row r="97" spans="1:59" x14ac:dyDescent="0.25">
      <c r="A97" s="6" t="s">
        <v>226</v>
      </c>
      <c r="J97" s="16" t="s">
        <v>227</v>
      </c>
      <c r="BG97" s="19">
        <v>505</v>
      </c>
    </row>
    <row r="98" spans="1:59" x14ac:dyDescent="0.25">
      <c r="A98" s="6" t="s">
        <v>228</v>
      </c>
      <c r="BG98" s="19">
        <v>511</v>
      </c>
    </row>
    <row r="99" spans="1:59" x14ac:dyDescent="0.25">
      <c r="A99" s="6" t="s">
        <v>229</v>
      </c>
      <c r="BG99" s="19">
        <v>520</v>
      </c>
    </row>
    <row r="100" spans="1:59" x14ac:dyDescent="0.25">
      <c r="A100" s="6" t="s">
        <v>230</v>
      </c>
      <c r="BG100" s="19">
        <v>527</v>
      </c>
    </row>
    <row r="101" spans="1:59" x14ac:dyDescent="0.25">
      <c r="A101" s="6" t="s">
        <v>231</v>
      </c>
      <c r="BG101" s="19">
        <v>530</v>
      </c>
    </row>
    <row r="102" spans="1:59" x14ac:dyDescent="0.25">
      <c r="A102" s="6" t="s">
        <v>232</v>
      </c>
      <c r="BG102" s="19">
        <v>538</v>
      </c>
    </row>
    <row r="103" spans="1:59" x14ac:dyDescent="0.25">
      <c r="A103" s="6" t="s">
        <v>233</v>
      </c>
      <c r="BG103" s="19">
        <v>542</v>
      </c>
    </row>
    <row r="104" spans="1:59" x14ac:dyDescent="0.25">
      <c r="A104" s="6" t="s">
        <v>234</v>
      </c>
      <c r="BG104" s="19" t="s">
        <v>235</v>
      </c>
    </row>
    <row r="105" spans="1:59" x14ac:dyDescent="0.25">
      <c r="A105" s="6" t="s">
        <v>236</v>
      </c>
    </row>
    <row r="106" spans="1:59" x14ac:dyDescent="0.25">
      <c r="A106" s="6" t="s">
        <v>237</v>
      </c>
    </row>
    <row r="107" spans="1:59" x14ac:dyDescent="0.25">
      <c r="A107" s="6" t="s">
        <v>238</v>
      </c>
    </row>
    <row r="108" spans="1:59" x14ac:dyDescent="0.25">
      <c r="A108" s="6" t="s">
        <v>239</v>
      </c>
    </row>
    <row r="109" spans="1:59" x14ac:dyDescent="0.25">
      <c r="A109" s="6" t="s">
        <v>240</v>
      </c>
    </row>
    <row r="110" spans="1:59" x14ac:dyDescent="0.25">
      <c r="A110" s="6" t="s">
        <v>241</v>
      </c>
    </row>
    <row r="111" spans="1:59" x14ac:dyDescent="0.25">
      <c r="A111" s="6" t="s">
        <v>242</v>
      </c>
    </row>
    <row r="112" spans="1:59" x14ac:dyDescent="0.25">
      <c r="A112" s="6" t="s">
        <v>243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980C4-25D6-47C1-9A63-0D1480F7EDCF}">
  <sheetPr codeName="Sheet1"/>
  <dimension ref="A1:I63"/>
  <sheetViews>
    <sheetView showGridLines="0" workbookViewId="0">
      <pane ySplit="4" topLeftCell="A57" activePane="bottomLeft" state="frozen"/>
      <selection pane="bottomLeft" activeCell="A64" sqref="A64"/>
    </sheetView>
  </sheetViews>
  <sheetFormatPr defaultRowHeight="15" x14ac:dyDescent="0.25"/>
  <cols>
    <col min="1" max="1" width="5.85546875" style="2" customWidth="1"/>
    <col min="2" max="2" width="14.140625" style="2" bestFit="1" customWidth="1"/>
    <col min="3" max="3" width="7.7109375" style="28" customWidth="1"/>
    <col min="4" max="4" width="18.85546875" style="11" customWidth="1"/>
    <col min="5" max="5" width="11" style="2" customWidth="1"/>
    <col min="6" max="6" width="9.85546875" style="2" customWidth="1"/>
    <col min="7" max="7" width="10" style="2" customWidth="1"/>
    <col min="8" max="8" width="9.7109375" style="2" customWidth="1"/>
    <col min="9" max="9" width="56.42578125" style="2" bestFit="1" customWidth="1"/>
    <col min="10" max="16384" width="9.140625" style="2"/>
  </cols>
  <sheetData>
    <row r="1" spans="1:9" customFormat="1" x14ac:dyDescent="0.25">
      <c r="A1" s="3" t="s">
        <v>80</v>
      </c>
      <c r="B1" s="3" t="s">
        <v>81</v>
      </c>
      <c r="C1" s="28"/>
      <c r="D1" s="11"/>
    </row>
    <row r="2" spans="1:9" customFormat="1" x14ac:dyDescent="0.25">
      <c r="A2" s="4" t="s">
        <v>82</v>
      </c>
      <c r="B2" s="4" t="s">
        <v>328</v>
      </c>
      <c r="C2" s="28"/>
      <c r="D2" s="11"/>
    </row>
    <row r="3" spans="1:9" customFormat="1" x14ac:dyDescent="0.25">
      <c r="A3" s="4"/>
      <c r="B3" s="4"/>
      <c r="C3" s="28"/>
      <c r="D3" s="11"/>
    </row>
    <row r="4" spans="1:9" s="11" customFormat="1" ht="30" x14ac:dyDescent="0.25">
      <c r="A4" s="10" t="s">
        <v>0</v>
      </c>
      <c r="B4" s="9" t="s">
        <v>1</v>
      </c>
      <c r="C4" s="29" t="s">
        <v>2</v>
      </c>
      <c r="D4" s="9" t="s">
        <v>3</v>
      </c>
      <c r="E4" s="9" t="s">
        <v>4</v>
      </c>
      <c r="F4" s="9" t="s">
        <v>247</v>
      </c>
      <c r="G4" s="9" t="s">
        <v>245</v>
      </c>
      <c r="H4" s="9" t="s">
        <v>246</v>
      </c>
      <c r="I4" s="9" t="s">
        <v>249</v>
      </c>
    </row>
    <row r="5" spans="1:9" x14ac:dyDescent="0.25">
      <c r="A5" s="12">
        <v>1</v>
      </c>
      <c r="B5" s="13">
        <v>71162006995</v>
      </c>
      <c r="C5" s="27">
        <v>368</v>
      </c>
      <c r="D5" s="14" t="s">
        <v>5</v>
      </c>
      <c r="E5" s="14" t="str">
        <f>IF(ISBLANK(HLOOKUP(A5,INDEX!$4:$17,10,0))=FALSE,"Done","")</f>
        <v>Done</v>
      </c>
      <c r="F5" s="14"/>
      <c r="G5" s="14"/>
      <c r="H5" s="14"/>
      <c r="I5" s="14"/>
    </row>
    <row r="6" spans="1:9" ht="30" x14ac:dyDescent="0.25">
      <c r="A6" s="12">
        <f>+A5+1</f>
        <v>2</v>
      </c>
      <c r="B6" s="13">
        <v>71162004953</v>
      </c>
      <c r="C6" s="27">
        <v>384</v>
      </c>
      <c r="D6" s="14" t="s">
        <v>6</v>
      </c>
      <c r="E6" s="14" t="str">
        <f>IF(ISBLANK(HLOOKUP(A6,INDEX!$4:$17,10,0))=FALSE,"Done","")</f>
        <v>Done</v>
      </c>
      <c r="F6" s="14"/>
      <c r="G6" s="14"/>
      <c r="H6" s="14"/>
      <c r="I6" s="14"/>
    </row>
    <row r="7" spans="1:9" ht="30" x14ac:dyDescent="0.25">
      <c r="A7" s="12">
        <f t="shared" ref="A7:A63" si="0">+A6+1</f>
        <v>3</v>
      </c>
      <c r="B7" s="13">
        <v>70993006501</v>
      </c>
      <c r="C7" s="27">
        <v>384</v>
      </c>
      <c r="D7" s="14" t="s">
        <v>65</v>
      </c>
      <c r="E7" s="14" t="str">
        <f>IF(ISBLANK(HLOOKUP(A7,INDEX!$4:$17,10,0))=FALSE,"Done","")</f>
        <v>Done</v>
      </c>
      <c r="F7" s="14"/>
      <c r="G7" s="14"/>
      <c r="H7" s="14"/>
      <c r="I7" s="14"/>
    </row>
    <row r="8" spans="1:9" ht="30" x14ac:dyDescent="0.25">
      <c r="A8" s="12">
        <f t="shared" si="0"/>
        <v>4</v>
      </c>
      <c r="B8" s="15" t="s">
        <v>7</v>
      </c>
      <c r="C8" s="27">
        <v>432</v>
      </c>
      <c r="D8" s="14" t="s">
        <v>79</v>
      </c>
      <c r="E8" s="14" t="str">
        <f>IF(ISBLANK(HLOOKUP(A8,INDEX!$4:$17,10,0))=FALSE,"Done","")</f>
        <v>Done</v>
      </c>
      <c r="F8" s="14"/>
      <c r="G8" s="14"/>
      <c r="H8" s="14"/>
      <c r="I8" s="14" t="s">
        <v>329</v>
      </c>
    </row>
    <row r="9" spans="1:9" ht="30" x14ac:dyDescent="0.25">
      <c r="A9" s="12">
        <f t="shared" si="0"/>
        <v>5</v>
      </c>
      <c r="B9" s="13">
        <v>71831007506</v>
      </c>
      <c r="C9" s="27">
        <v>768</v>
      </c>
      <c r="D9" s="14" t="s">
        <v>8</v>
      </c>
      <c r="E9" s="14" t="str">
        <f>IF(ISBLANK(HLOOKUP(A9,INDEX!$4:$17,10,0))=FALSE,"Done","")</f>
        <v>Done</v>
      </c>
      <c r="F9" s="14"/>
      <c r="G9" s="14"/>
      <c r="H9" s="14"/>
      <c r="I9" s="14"/>
    </row>
    <row r="10" spans="1:9" ht="45" x14ac:dyDescent="0.25">
      <c r="A10" s="12">
        <f t="shared" si="0"/>
        <v>6</v>
      </c>
      <c r="B10" s="15" t="s">
        <v>9</v>
      </c>
      <c r="C10" s="27">
        <v>304</v>
      </c>
      <c r="D10" s="14" t="s">
        <v>10</v>
      </c>
      <c r="E10" s="14" t="str">
        <f>IF(ISBLANK(HLOOKUP(A10,INDEX!$4:$17,10,0))=FALSE,"Done","")</f>
        <v>Done</v>
      </c>
      <c r="F10" s="14"/>
      <c r="G10" s="14"/>
      <c r="H10" s="14"/>
      <c r="I10" s="14"/>
    </row>
    <row r="11" spans="1:9" ht="30" x14ac:dyDescent="0.25">
      <c r="A11" s="12">
        <f t="shared" si="0"/>
        <v>7</v>
      </c>
      <c r="B11" s="15">
        <v>71009005990</v>
      </c>
      <c r="C11" s="27">
        <v>432</v>
      </c>
      <c r="D11" s="14" t="s">
        <v>11</v>
      </c>
      <c r="E11" s="14" t="str">
        <f>IF(ISBLANK(HLOOKUP(A11,INDEX!$4:$17,10,0))=FALSE,"Done","")</f>
        <v>Done</v>
      </c>
      <c r="F11" s="14"/>
      <c r="G11" s="14"/>
      <c r="H11" s="14"/>
      <c r="I11" s="14"/>
    </row>
    <row r="12" spans="1:9" ht="45" x14ac:dyDescent="0.25">
      <c r="A12" s="12">
        <f t="shared" si="0"/>
        <v>8</v>
      </c>
      <c r="B12" s="15">
        <v>76783006997</v>
      </c>
      <c r="C12" s="27">
        <v>496</v>
      </c>
      <c r="D12" s="14" t="s">
        <v>66</v>
      </c>
      <c r="E12" s="14" t="str">
        <f>IF(ISBLANK(HLOOKUP(A12,INDEX!$4:$17,10,0))=FALSE,"Done","")</f>
        <v>Done</v>
      </c>
      <c r="F12" s="14"/>
      <c r="G12" s="14"/>
      <c r="H12" s="14"/>
      <c r="I12" s="14"/>
    </row>
    <row r="13" spans="1:9" ht="30" x14ac:dyDescent="0.25">
      <c r="A13" s="12">
        <f t="shared" si="0"/>
        <v>9</v>
      </c>
      <c r="B13" s="15" t="s">
        <v>12</v>
      </c>
      <c r="C13" s="27">
        <v>688</v>
      </c>
      <c r="D13" s="14" t="s">
        <v>75</v>
      </c>
      <c r="E13" s="14" t="str">
        <f>IF(ISBLANK(HLOOKUP(A13,INDEX!$4:$17,10,0))=FALSE,"Done","")</f>
        <v>Done</v>
      </c>
      <c r="F13" s="14"/>
      <c r="G13" s="14"/>
      <c r="H13" s="14"/>
      <c r="I13" s="14"/>
    </row>
    <row r="14" spans="1:9" ht="45" x14ac:dyDescent="0.25">
      <c r="A14" s="12">
        <f t="shared" si="0"/>
        <v>10</v>
      </c>
      <c r="B14" s="15">
        <v>71009005952</v>
      </c>
      <c r="C14" s="27">
        <v>592</v>
      </c>
      <c r="D14" s="14" t="s">
        <v>326</v>
      </c>
      <c r="E14" s="14" t="str">
        <f>IF(ISBLANK(HLOOKUP(A14,INDEX!$4:$17,10,0))=FALSE,"Done","")</f>
        <v>Done</v>
      </c>
      <c r="F14" s="14"/>
      <c r="G14" s="14"/>
      <c r="H14" s="14"/>
      <c r="I14" s="14"/>
    </row>
    <row r="15" spans="1:9" x14ac:dyDescent="0.25">
      <c r="A15" s="12">
        <f t="shared" si="0"/>
        <v>11</v>
      </c>
      <c r="B15" s="15">
        <v>76783004955</v>
      </c>
      <c r="C15" s="27">
        <v>400</v>
      </c>
      <c r="D15" s="14" t="s">
        <v>13</v>
      </c>
      <c r="E15" s="14" t="str">
        <f>IF(ISBLANK(HLOOKUP(A15,INDEX!$4:$17,10,0))=FALSE,"Done","")</f>
        <v>Done</v>
      </c>
      <c r="F15" s="14"/>
      <c r="G15" s="14"/>
      <c r="H15" s="14"/>
      <c r="I15" s="14"/>
    </row>
    <row r="16" spans="1:9" ht="30" x14ac:dyDescent="0.25">
      <c r="A16" s="12">
        <f t="shared" si="0"/>
        <v>12</v>
      </c>
      <c r="B16" s="15">
        <v>21218</v>
      </c>
      <c r="C16" s="27">
        <v>352</v>
      </c>
      <c r="D16" s="14" t="s">
        <v>308</v>
      </c>
      <c r="E16" s="14" t="str">
        <f>IF(ISBLANK(HLOOKUP(A16,INDEX!$4:$17,10,0))=FALSE,"Done","")</f>
        <v>Done</v>
      </c>
      <c r="F16" s="14"/>
      <c r="G16" s="14"/>
      <c r="H16" s="14"/>
      <c r="I16" s="14"/>
    </row>
    <row r="17" spans="1:9" ht="30" x14ac:dyDescent="0.25">
      <c r="A17" s="12">
        <f t="shared" si="0"/>
        <v>13</v>
      </c>
      <c r="B17" s="15">
        <v>19705</v>
      </c>
      <c r="C17" s="27">
        <v>416</v>
      </c>
      <c r="D17" s="14" t="s">
        <v>76</v>
      </c>
      <c r="E17" s="14" t="str">
        <f>IF(ISBLANK(HLOOKUP(A17,INDEX!$4:$17,10,0))=FALSE,"Done","")</f>
        <v>Done</v>
      </c>
      <c r="F17" s="14"/>
      <c r="G17" s="14"/>
      <c r="H17" s="14"/>
      <c r="I17" s="14"/>
    </row>
    <row r="18" spans="1:9" ht="45" x14ac:dyDescent="0.25">
      <c r="A18" s="12">
        <f t="shared" si="0"/>
        <v>14</v>
      </c>
      <c r="B18" s="15">
        <v>71831007995</v>
      </c>
      <c r="C18" s="27">
        <v>336</v>
      </c>
      <c r="D18" s="14" t="s">
        <v>312</v>
      </c>
      <c r="E18" s="14" t="str">
        <f>IF(ISBLANK(HLOOKUP(A18,INDEX!$4:$17,10,0))=FALSE,"Done","")</f>
        <v>Done</v>
      </c>
      <c r="F18" s="14"/>
      <c r="G18" s="14"/>
      <c r="H18" s="14"/>
      <c r="I18" s="14"/>
    </row>
    <row r="19" spans="1:9" ht="30" x14ac:dyDescent="0.25">
      <c r="A19" s="12">
        <f t="shared" si="0"/>
        <v>15</v>
      </c>
      <c r="B19" s="15">
        <v>70993005955</v>
      </c>
      <c r="C19" s="27">
        <v>432</v>
      </c>
      <c r="D19" s="14" t="s">
        <v>14</v>
      </c>
      <c r="E19" s="14" t="str">
        <f>IF(ISBLANK(HLOOKUP(A19,INDEX!$4:$17,10,0))=FALSE,"Done","")</f>
        <v>Done</v>
      </c>
      <c r="F19" s="14"/>
      <c r="G19" s="14"/>
      <c r="H19" s="14"/>
      <c r="I19" s="14"/>
    </row>
    <row r="20" spans="1:9" ht="30" x14ac:dyDescent="0.25">
      <c r="A20" s="12">
        <f t="shared" si="0"/>
        <v>16</v>
      </c>
      <c r="B20" s="15">
        <v>71831006998</v>
      </c>
      <c r="C20" s="27">
        <v>384</v>
      </c>
      <c r="D20" s="14" t="s">
        <v>15</v>
      </c>
      <c r="E20" s="14" t="str">
        <f>IF(ISBLANK(HLOOKUP(A20,INDEX!$4:$17,10,0))=FALSE,"Done","")</f>
        <v>Done</v>
      </c>
      <c r="F20" s="14"/>
      <c r="G20" s="14"/>
      <c r="H20" s="14"/>
      <c r="I20" s="14"/>
    </row>
    <row r="21" spans="1:9" ht="30" x14ac:dyDescent="0.25">
      <c r="A21" s="12">
        <f t="shared" si="0"/>
        <v>17</v>
      </c>
      <c r="B21" s="15">
        <v>71009006997</v>
      </c>
      <c r="C21" s="27">
        <v>528</v>
      </c>
      <c r="D21" s="14" t="s">
        <v>69</v>
      </c>
      <c r="E21" s="14" t="str">
        <f>IF(ISBLANK(HLOOKUP(A21,INDEX!$4:$17,10,0))=FALSE,"Done","")</f>
        <v>Done</v>
      </c>
      <c r="F21" s="14"/>
      <c r="G21" s="14"/>
      <c r="H21" s="14"/>
      <c r="I21" s="14"/>
    </row>
    <row r="22" spans="1:9" ht="30" x14ac:dyDescent="0.25">
      <c r="A22" s="12">
        <f t="shared" si="0"/>
        <v>18</v>
      </c>
      <c r="B22" s="15">
        <v>14758</v>
      </c>
      <c r="C22" s="27">
        <v>1008</v>
      </c>
      <c r="D22" s="14" t="s">
        <v>16</v>
      </c>
      <c r="E22" s="14" t="str">
        <f>IF(ISBLANK(HLOOKUP(A22,INDEX!$4:$17,10,0))=FALSE,"Done","")</f>
        <v>Done</v>
      </c>
      <c r="F22" s="14"/>
      <c r="G22" s="14"/>
      <c r="H22" s="14"/>
      <c r="I22" s="14"/>
    </row>
    <row r="23" spans="1:9" x14ac:dyDescent="0.25">
      <c r="A23" s="12">
        <f t="shared" si="0"/>
        <v>19</v>
      </c>
      <c r="B23" s="15">
        <v>65373002754</v>
      </c>
      <c r="C23" s="27">
        <v>224</v>
      </c>
      <c r="D23" s="14" t="s">
        <v>17</v>
      </c>
      <c r="E23" s="14" t="str">
        <f>IF(ISBLANK(HLOOKUP(A23,INDEX!$4:$17,10,0))=FALSE,"Done","")</f>
        <v>Done</v>
      </c>
      <c r="F23" s="14"/>
      <c r="G23" s="14"/>
      <c r="H23" s="14"/>
      <c r="I23" s="14"/>
    </row>
    <row r="24" spans="1:9" ht="30" x14ac:dyDescent="0.25">
      <c r="A24" s="12">
        <f t="shared" si="0"/>
        <v>20</v>
      </c>
      <c r="B24" s="15">
        <v>71009007994</v>
      </c>
      <c r="C24" s="27">
        <v>528</v>
      </c>
      <c r="D24" s="14" t="s">
        <v>320</v>
      </c>
      <c r="E24" s="14" t="str">
        <f>IF(ISBLANK(HLOOKUP(A24,INDEX!$4:$17,10,0))=FALSE,"Done","")</f>
        <v>Done</v>
      </c>
      <c r="F24" s="14"/>
      <c r="G24" s="14"/>
      <c r="H24" s="14"/>
      <c r="I24" s="14"/>
    </row>
    <row r="25" spans="1:9" ht="30" x14ac:dyDescent="0.25">
      <c r="A25" s="12">
        <f t="shared" si="0"/>
        <v>21</v>
      </c>
      <c r="B25" s="15">
        <v>76783004504</v>
      </c>
      <c r="C25" s="27">
        <v>352</v>
      </c>
      <c r="D25" s="14" t="s">
        <v>64</v>
      </c>
      <c r="E25" s="14" t="str">
        <f>IF(ISBLANK(HLOOKUP(A25,INDEX!$4:$17,10,0))=FALSE,"Done","")</f>
        <v>Done</v>
      </c>
      <c r="F25" s="14"/>
      <c r="G25" s="14"/>
      <c r="H25" s="14"/>
      <c r="I25" s="14"/>
    </row>
    <row r="26" spans="1:9" ht="30" x14ac:dyDescent="0.25">
      <c r="A26" s="12">
        <f t="shared" si="0"/>
        <v>22</v>
      </c>
      <c r="B26" s="15">
        <v>27778004993</v>
      </c>
      <c r="C26" s="27">
        <v>384</v>
      </c>
      <c r="D26" s="14" t="s">
        <v>322</v>
      </c>
      <c r="E26" s="14" t="str">
        <f>IF(ISBLANK(HLOOKUP(A26,INDEX!$4:$17,10,0))=FALSE,"Done","")</f>
        <v>Done</v>
      </c>
      <c r="F26" s="14"/>
      <c r="G26" s="14"/>
      <c r="H26" s="14"/>
      <c r="I26" s="14"/>
    </row>
    <row r="27" spans="1:9" ht="30" x14ac:dyDescent="0.25">
      <c r="A27" s="12">
        <f t="shared" si="0"/>
        <v>23</v>
      </c>
      <c r="B27" s="15">
        <v>22570</v>
      </c>
      <c r="C27" s="27">
        <v>464</v>
      </c>
      <c r="D27" s="14" t="s">
        <v>315</v>
      </c>
      <c r="E27" s="14" t="str">
        <f>IF(ISBLANK(HLOOKUP(A27,INDEX!$4:$17,10,0))=FALSE,"Done","")</f>
        <v>Done</v>
      </c>
      <c r="F27" s="14"/>
      <c r="G27" s="14"/>
      <c r="H27" s="14"/>
      <c r="I27" s="14"/>
    </row>
    <row r="28" spans="1:9" ht="30" x14ac:dyDescent="0.25">
      <c r="A28" s="12">
        <f t="shared" si="0"/>
        <v>24</v>
      </c>
      <c r="B28" s="15">
        <v>71162009996</v>
      </c>
      <c r="C28" s="27">
        <v>544</v>
      </c>
      <c r="D28" s="14" t="s">
        <v>324</v>
      </c>
      <c r="E28" s="14" t="str">
        <f>IF(ISBLANK(HLOOKUP(A28,INDEX!$4:$17,10,0))=FALSE,"Done","")</f>
        <v>Done</v>
      </c>
      <c r="F28" s="14"/>
      <c r="G28" s="14"/>
      <c r="H28" s="14"/>
      <c r="I28" s="14"/>
    </row>
    <row r="29" spans="1:9" ht="45" x14ac:dyDescent="0.25">
      <c r="A29" s="12">
        <f t="shared" si="0"/>
        <v>25</v>
      </c>
      <c r="B29" s="15">
        <v>76783005952</v>
      </c>
      <c r="C29" s="27">
        <v>686</v>
      </c>
      <c r="D29" s="14" t="s">
        <v>77</v>
      </c>
      <c r="E29" s="14" t="str">
        <f>IF(ISBLANK(HLOOKUP(A29,INDEX!$4:$17,10,0))=FALSE,"Done","")</f>
        <v>Done</v>
      </c>
      <c r="F29" s="14"/>
      <c r="G29" s="14"/>
      <c r="H29" s="14" t="s">
        <v>251</v>
      </c>
      <c r="I29" s="14"/>
    </row>
    <row r="30" spans="1:9" ht="45" x14ac:dyDescent="0.25">
      <c r="A30" s="12">
        <f t="shared" si="0"/>
        <v>26</v>
      </c>
      <c r="B30" s="15">
        <v>50694007991</v>
      </c>
      <c r="C30" s="27">
        <v>496</v>
      </c>
      <c r="D30" s="14" t="s">
        <v>304</v>
      </c>
      <c r="E30" s="14" t="str">
        <f>IF(ISBLANK(HLOOKUP(A30,INDEX!$4:$17,10,0))=FALSE,"Done","")</f>
        <v>Done</v>
      </c>
      <c r="F30" s="14"/>
      <c r="G30" s="14"/>
      <c r="H30" s="14"/>
      <c r="I30" s="14"/>
    </row>
    <row r="31" spans="1:9" ht="30" x14ac:dyDescent="0.25">
      <c r="A31" s="12">
        <f t="shared" si="0"/>
        <v>27</v>
      </c>
      <c r="B31" s="15" t="s">
        <v>18</v>
      </c>
      <c r="C31" s="27">
        <v>560</v>
      </c>
      <c r="D31" s="14" t="s">
        <v>74</v>
      </c>
      <c r="E31" s="14" t="str">
        <f>IF(ISBLANK(HLOOKUP(A31,INDEX!$4:$17,10,0))=FALSE,"Done","")</f>
        <v>Done</v>
      </c>
      <c r="F31" s="14"/>
      <c r="G31" s="14"/>
      <c r="H31" s="14"/>
      <c r="I31" s="14"/>
    </row>
    <row r="32" spans="1:9" x14ac:dyDescent="0.25">
      <c r="A32" s="12">
        <f t="shared" si="0"/>
        <v>28</v>
      </c>
      <c r="B32" s="15">
        <v>76783006508</v>
      </c>
      <c r="C32" s="27">
        <v>320</v>
      </c>
      <c r="D32" s="14" t="s">
        <v>19</v>
      </c>
      <c r="E32" s="14" t="str">
        <f>IF(ISBLANK(HLOOKUP(A32,INDEX!$4:$17,10,0))=FALSE,"Done","")</f>
        <v>Done</v>
      </c>
      <c r="F32" s="14"/>
      <c r="G32" s="14"/>
      <c r="H32" s="14"/>
      <c r="I32" s="14"/>
    </row>
    <row r="33" spans="1:9" ht="45" x14ac:dyDescent="0.25">
      <c r="A33" s="12">
        <f t="shared" si="0"/>
        <v>29</v>
      </c>
      <c r="B33" s="15">
        <v>27778004955</v>
      </c>
      <c r="C33" s="27">
        <v>336</v>
      </c>
      <c r="D33" s="14" t="s">
        <v>20</v>
      </c>
      <c r="E33" s="14" t="str">
        <f>IF(ISBLANK(HLOOKUP(A33,INDEX!$4:$17,10,0))=FALSE,"Done","")</f>
        <v>Done</v>
      </c>
      <c r="F33" s="14"/>
      <c r="G33" s="14"/>
      <c r="H33" s="14"/>
      <c r="I33" s="14"/>
    </row>
    <row r="34" spans="1:9" ht="75" x14ac:dyDescent="0.25">
      <c r="A34" s="12">
        <f t="shared" si="0"/>
        <v>30</v>
      </c>
      <c r="B34" s="15" t="s">
        <v>21</v>
      </c>
      <c r="C34" s="27">
        <v>246</v>
      </c>
      <c r="D34" s="14" t="s">
        <v>22</v>
      </c>
      <c r="E34" s="14" t="str">
        <f>IF(ISBLANK(HLOOKUP(A34,INDEX!$4:$17,10,0))=FALSE,"Done","")</f>
        <v>Done</v>
      </c>
      <c r="F34" s="14"/>
      <c r="G34" s="14"/>
      <c r="H34" s="14" t="s">
        <v>261</v>
      </c>
      <c r="I34" s="14"/>
    </row>
    <row r="35" spans="1:9" ht="45" x14ac:dyDescent="0.25">
      <c r="A35" s="12">
        <f t="shared" si="0"/>
        <v>31</v>
      </c>
      <c r="B35" s="15" t="s">
        <v>23</v>
      </c>
      <c r="C35" s="27">
        <v>366</v>
      </c>
      <c r="D35" s="14" t="s">
        <v>24</v>
      </c>
      <c r="E35" s="14" t="str">
        <f>IF(ISBLANK(HLOOKUP(A35,INDEX!$4:$17,10,0))=FALSE,"Done","")</f>
        <v>Done</v>
      </c>
      <c r="F35" s="14"/>
      <c r="G35" s="14"/>
      <c r="H35" s="14" t="s">
        <v>301</v>
      </c>
      <c r="I35" s="14" t="s">
        <v>302</v>
      </c>
    </row>
    <row r="36" spans="1:9" ht="30" x14ac:dyDescent="0.25">
      <c r="A36" s="12">
        <f t="shared" si="0"/>
        <v>32</v>
      </c>
      <c r="B36" s="15" t="s">
        <v>25</v>
      </c>
      <c r="C36" s="27">
        <v>432</v>
      </c>
      <c r="D36" s="14" t="s">
        <v>253</v>
      </c>
      <c r="E36" s="14" t="str">
        <f>IF(ISBLANK(HLOOKUP(A36,INDEX!$4:$17,10,0))=FALSE,"Done","")</f>
        <v>Done</v>
      </c>
      <c r="F36" s="14"/>
      <c r="G36" s="14"/>
      <c r="H36" s="14"/>
      <c r="I36" s="14"/>
    </row>
    <row r="37" spans="1:9" ht="60" x14ac:dyDescent="0.25">
      <c r="A37" s="12">
        <f t="shared" si="0"/>
        <v>33</v>
      </c>
      <c r="B37" s="15" t="s">
        <v>26</v>
      </c>
      <c r="C37" s="27">
        <v>266</v>
      </c>
      <c r="D37" s="14" t="s">
        <v>27</v>
      </c>
      <c r="E37" s="14" t="str">
        <f>IF(ISBLANK(HLOOKUP(A37,INDEX!$4:$17,10,0))=FALSE,"Done","")</f>
        <v>Done</v>
      </c>
      <c r="F37" s="14"/>
      <c r="G37" s="14"/>
      <c r="H37" s="14"/>
      <c r="I37" s="14"/>
    </row>
    <row r="38" spans="1:9" ht="30" x14ac:dyDescent="0.25">
      <c r="A38" s="12">
        <f t="shared" si="0"/>
        <v>34</v>
      </c>
      <c r="B38" s="15" t="s">
        <v>28</v>
      </c>
      <c r="C38" s="27">
        <v>336</v>
      </c>
      <c r="D38" s="14" t="s">
        <v>29</v>
      </c>
      <c r="E38" s="14" t="str">
        <f>IF(ISBLANK(HLOOKUP(A38,INDEX!$4:$17,10,0))=FALSE,"Done","")</f>
        <v>Done</v>
      </c>
      <c r="F38" s="14"/>
      <c r="G38" s="14"/>
      <c r="H38" s="14"/>
      <c r="I38" s="14" t="s">
        <v>329</v>
      </c>
    </row>
    <row r="39" spans="1:9" ht="45" x14ac:dyDescent="0.25">
      <c r="A39" s="12">
        <f t="shared" si="0"/>
        <v>35</v>
      </c>
      <c r="B39" s="15" t="s">
        <v>30</v>
      </c>
      <c r="C39" s="27">
        <v>270</v>
      </c>
      <c r="D39" s="14" t="s">
        <v>31</v>
      </c>
      <c r="E39" s="14" t="str">
        <f>IF(ISBLANK(HLOOKUP(A39,INDEX!$4:$17,10,0))=FALSE,"Done","")</f>
        <v>Done</v>
      </c>
      <c r="F39" s="14"/>
      <c r="G39" s="14"/>
      <c r="H39" s="14"/>
      <c r="I39" s="14" t="s">
        <v>330</v>
      </c>
    </row>
    <row r="40" spans="1:9" ht="45" x14ac:dyDescent="0.25">
      <c r="A40" s="12">
        <f t="shared" si="0"/>
        <v>36</v>
      </c>
      <c r="B40" s="15" t="s">
        <v>32</v>
      </c>
      <c r="C40" s="27">
        <v>432</v>
      </c>
      <c r="D40" s="14" t="s">
        <v>72</v>
      </c>
      <c r="E40" s="14" t="str">
        <f>IF(ISBLANK(HLOOKUP(A40,INDEX!$4:$17,10,0))=FALSE,"Done","")</f>
        <v>Done</v>
      </c>
      <c r="F40" s="14" t="s">
        <v>250</v>
      </c>
      <c r="G40" s="14"/>
      <c r="H40" s="14"/>
      <c r="I40" s="14" t="s">
        <v>248</v>
      </c>
    </row>
    <row r="41" spans="1:9" x14ac:dyDescent="0.25">
      <c r="A41" s="12">
        <f t="shared" si="0"/>
        <v>37</v>
      </c>
      <c r="B41" s="15" t="s">
        <v>33</v>
      </c>
      <c r="C41" s="27">
        <v>336</v>
      </c>
      <c r="D41" s="14" t="s">
        <v>34</v>
      </c>
      <c r="E41" s="14" t="str">
        <f>IF(ISBLANK(HLOOKUP(A41,INDEX!$4:$17,10,0))=FALSE,"Done","")</f>
        <v>Done</v>
      </c>
      <c r="F41" s="14"/>
      <c r="G41" s="14"/>
      <c r="H41" s="14"/>
      <c r="I41" s="14"/>
    </row>
    <row r="42" spans="1:9" ht="30" x14ac:dyDescent="0.25">
      <c r="A42" s="12">
        <f t="shared" si="0"/>
        <v>38</v>
      </c>
      <c r="B42" s="15" t="s">
        <v>35</v>
      </c>
      <c r="C42" s="27">
        <v>480</v>
      </c>
      <c r="D42" s="14" t="s">
        <v>36</v>
      </c>
      <c r="E42" s="14" t="str">
        <f>IF(ISBLANK(HLOOKUP(A42,INDEX!$4:$17,10,0))=FALSE,"Done","")</f>
        <v>Done</v>
      </c>
      <c r="F42" s="14"/>
      <c r="G42" s="14"/>
      <c r="H42" s="14" t="s">
        <v>265</v>
      </c>
      <c r="I42" s="14" t="s">
        <v>291</v>
      </c>
    </row>
    <row r="43" spans="1:9" ht="60" x14ac:dyDescent="0.25">
      <c r="A43" s="12">
        <f t="shared" si="0"/>
        <v>39</v>
      </c>
      <c r="B43" s="15" t="s">
        <v>37</v>
      </c>
      <c r="C43" s="27">
        <v>158</v>
      </c>
      <c r="D43" s="14" t="s">
        <v>263</v>
      </c>
      <c r="E43" s="14" t="str">
        <f>IF(ISBLANK(HLOOKUP(A43,INDEX!$4:$17,10,0))=FALSE,"Done","")</f>
        <v>Done</v>
      </c>
      <c r="F43" s="14"/>
      <c r="G43" s="14"/>
      <c r="H43" s="14"/>
      <c r="I43" s="14"/>
    </row>
    <row r="44" spans="1:9" ht="30" x14ac:dyDescent="0.25">
      <c r="A44" s="12">
        <f t="shared" si="0"/>
        <v>40</v>
      </c>
      <c r="B44" s="15" t="s">
        <v>38</v>
      </c>
      <c r="C44" s="27">
        <v>480</v>
      </c>
      <c r="D44" s="14" t="s">
        <v>39</v>
      </c>
      <c r="E44" s="14" t="str">
        <f>IF(ISBLANK(HLOOKUP(A44,INDEX!$4:$17,10,0))=FALSE,"Done","")</f>
        <v>Done</v>
      </c>
      <c r="F44" s="14"/>
      <c r="G44" s="14"/>
      <c r="H44" s="14"/>
      <c r="I44" s="14"/>
    </row>
    <row r="45" spans="1:9" x14ac:dyDescent="0.25">
      <c r="A45" s="12">
        <f t="shared" si="0"/>
        <v>41</v>
      </c>
      <c r="B45" s="15" t="s">
        <v>40</v>
      </c>
      <c r="C45" s="27">
        <v>224</v>
      </c>
      <c r="D45" s="14" t="s">
        <v>41</v>
      </c>
      <c r="E45" s="14" t="str">
        <f>IF(ISBLANK(HLOOKUP(A45,INDEX!$4:$17,10,0))=FALSE,"Done","")</f>
        <v>Done</v>
      </c>
      <c r="F45" s="14"/>
      <c r="G45" s="14"/>
      <c r="H45" s="14"/>
      <c r="I45" s="14"/>
    </row>
    <row r="46" spans="1:9" ht="30" x14ac:dyDescent="0.25">
      <c r="A46" s="12">
        <f t="shared" si="0"/>
        <v>42</v>
      </c>
      <c r="B46" s="15" t="s">
        <v>42</v>
      </c>
      <c r="C46" s="27">
        <v>224</v>
      </c>
      <c r="D46" s="14" t="s">
        <v>43</v>
      </c>
      <c r="E46" s="14" t="str">
        <f>IF(ISBLANK(HLOOKUP(A46,INDEX!$4:$17,10,0))=FALSE,"Done","")</f>
        <v>Done</v>
      </c>
      <c r="F46" s="14"/>
      <c r="G46" s="14"/>
      <c r="H46" s="14"/>
      <c r="I46" s="14"/>
    </row>
    <row r="47" spans="1:9" ht="45" x14ac:dyDescent="0.25">
      <c r="A47" s="12">
        <f t="shared" si="0"/>
        <v>43</v>
      </c>
      <c r="B47" s="15" t="s">
        <v>44</v>
      </c>
      <c r="C47" s="27">
        <v>256</v>
      </c>
      <c r="D47" s="14" t="s">
        <v>45</v>
      </c>
      <c r="E47" s="14" t="str">
        <f>IF(ISBLANK(HLOOKUP(A47,INDEX!$4:$17,10,0))=FALSE,"Done","")</f>
        <v>Done</v>
      </c>
      <c r="F47" s="14"/>
      <c r="G47" s="14"/>
      <c r="H47" s="14"/>
      <c r="I47" s="14"/>
    </row>
    <row r="48" spans="1:9" ht="60" x14ac:dyDescent="0.25">
      <c r="A48" s="12">
        <f t="shared" si="0"/>
        <v>44</v>
      </c>
      <c r="B48" s="15" t="s">
        <v>46</v>
      </c>
      <c r="C48" s="27">
        <v>352</v>
      </c>
      <c r="D48" s="14" t="s">
        <v>73</v>
      </c>
      <c r="E48" s="14" t="str">
        <f>IF(ISBLANK(HLOOKUP(A48,INDEX!$4:$17,10,0))=FALSE,"Done","")</f>
        <v>Done</v>
      </c>
      <c r="F48" s="14"/>
      <c r="G48" s="14"/>
      <c r="H48" s="14"/>
      <c r="I48" s="14" t="s">
        <v>331</v>
      </c>
    </row>
    <row r="49" spans="1:9" ht="30" x14ac:dyDescent="0.25">
      <c r="A49" s="12">
        <f t="shared" si="0"/>
        <v>45</v>
      </c>
      <c r="B49" s="15">
        <v>21754</v>
      </c>
      <c r="C49" s="27">
        <v>448</v>
      </c>
      <c r="D49" s="14" t="s">
        <v>317</v>
      </c>
      <c r="E49" s="14" t="str">
        <f>IF(ISBLANK(HLOOKUP(A49,INDEX!$4:$17,10,0))=FALSE,"Done","")</f>
        <v>Done</v>
      </c>
      <c r="F49" s="14"/>
      <c r="G49" s="14"/>
      <c r="H49" s="14"/>
      <c r="I49" s="14"/>
    </row>
    <row r="50" spans="1:9" ht="30" x14ac:dyDescent="0.25">
      <c r="A50" s="12">
        <f t="shared" si="0"/>
        <v>46</v>
      </c>
      <c r="B50" s="15" t="s">
        <v>47</v>
      </c>
      <c r="C50" s="27">
        <v>288</v>
      </c>
      <c r="D50" s="14" t="s">
        <v>48</v>
      </c>
      <c r="E50" s="14" t="str">
        <f>IF(ISBLANK(HLOOKUP(A50,INDEX!$4:$17,10,0))=FALSE,"Done","")</f>
        <v>Done</v>
      </c>
      <c r="F50" s="14"/>
      <c r="G50" s="14"/>
      <c r="H50" s="14"/>
      <c r="I50" s="14"/>
    </row>
    <row r="51" spans="1:9" x14ac:dyDescent="0.25">
      <c r="A51" s="12">
        <f t="shared" si="0"/>
        <v>47</v>
      </c>
      <c r="B51" s="15" t="s">
        <v>49</v>
      </c>
      <c r="C51" s="27">
        <v>256</v>
      </c>
      <c r="D51" s="14" t="s">
        <v>50</v>
      </c>
      <c r="E51" s="14" t="str">
        <f>IF(ISBLANK(HLOOKUP(A51,INDEX!$4:$17,10,0))=FALSE,"Done","")</f>
        <v>Done</v>
      </c>
      <c r="F51" s="14"/>
      <c r="G51" s="14"/>
      <c r="H51" s="14"/>
      <c r="I51" s="14"/>
    </row>
    <row r="52" spans="1:9" ht="30" x14ac:dyDescent="0.25">
      <c r="A52" s="12">
        <f t="shared" si="0"/>
        <v>48</v>
      </c>
      <c r="B52" s="15" t="s">
        <v>51</v>
      </c>
      <c r="C52" s="27">
        <v>768</v>
      </c>
      <c r="D52" s="14" t="s">
        <v>70</v>
      </c>
      <c r="E52" s="14" t="str">
        <f>IF(ISBLANK(HLOOKUP(A52,INDEX!$4:$17,10,0))=FALSE,"Done","")</f>
        <v>Done</v>
      </c>
      <c r="F52" s="14"/>
      <c r="G52" s="14"/>
      <c r="H52" s="14"/>
      <c r="I52" s="14" t="s">
        <v>329</v>
      </c>
    </row>
    <row r="53" spans="1:9" x14ac:dyDescent="0.25">
      <c r="A53" s="12">
        <f t="shared" si="0"/>
        <v>49</v>
      </c>
      <c r="B53" s="15" t="s">
        <v>52</v>
      </c>
      <c r="C53" s="27">
        <v>288</v>
      </c>
      <c r="D53" s="14" t="s">
        <v>53</v>
      </c>
      <c r="E53" s="14" t="str">
        <f>IF(ISBLANK(HLOOKUP(A53,INDEX!$4:$17,10,0))=FALSE,"Done","")</f>
        <v>Done</v>
      </c>
      <c r="F53" s="14"/>
      <c r="G53" s="14"/>
      <c r="H53" s="14"/>
      <c r="I53" s="14"/>
    </row>
    <row r="54" spans="1:9" ht="60" x14ac:dyDescent="0.25">
      <c r="A54" s="12">
        <f t="shared" si="0"/>
        <v>50</v>
      </c>
      <c r="B54" s="15">
        <v>71125007991</v>
      </c>
      <c r="C54" s="27">
        <v>624</v>
      </c>
      <c r="D54" s="14" t="s">
        <v>54</v>
      </c>
      <c r="E54" s="14" t="str">
        <f>IF(ISBLANK(HLOOKUP(A54,INDEX!$4:$17,10,0))=FALSE,"Done","")</f>
        <v>Done</v>
      </c>
      <c r="F54" s="14"/>
      <c r="G54" s="14"/>
      <c r="H54" s="14"/>
      <c r="I54" s="14" t="s">
        <v>83</v>
      </c>
    </row>
    <row r="55" spans="1:9" ht="120" x14ac:dyDescent="0.25">
      <c r="A55" s="12">
        <f t="shared" si="0"/>
        <v>51</v>
      </c>
      <c r="B55" s="15" t="s">
        <v>55</v>
      </c>
      <c r="C55" s="27">
        <v>336</v>
      </c>
      <c r="D55" s="14" t="s">
        <v>56</v>
      </c>
      <c r="E55" s="14" t="str">
        <f>IF(ISBLANK(HLOOKUP(A55,INDEX!$4:$17,10,0))=FALSE,"Done","")</f>
        <v>Done</v>
      </c>
      <c r="F55" s="14"/>
      <c r="G55" s="14"/>
      <c r="H55" s="14" t="s">
        <v>258</v>
      </c>
      <c r="I55" s="14" t="s">
        <v>257</v>
      </c>
    </row>
    <row r="56" spans="1:9" ht="30" x14ac:dyDescent="0.25">
      <c r="A56" s="12">
        <f t="shared" si="0"/>
        <v>52</v>
      </c>
      <c r="B56" s="15" t="s">
        <v>57</v>
      </c>
      <c r="C56" s="27">
        <v>544</v>
      </c>
      <c r="D56" s="14" t="s">
        <v>67</v>
      </c>
      <c r="E56" s="14" t="str">
        <f>IF(ISBLANK(HLOOKUP(A56,INDEX!$4:$17,10,0))=FALSE,"Done","")</f>
        <v>Done</v>
      </c>
      <c r="F56" s="14"/>
      <c r="G56" s="14"/>
      <c r="H56" s="14"/>
      <c r="I56" s="14"/>
    </row>
    <row r="57" spans="1:9" ht="30" x14ac:dyDescent="0.25">
      <c r="A57" s="12">
        <f t="shared" si="0"/>
        <v>53</v>
      </c>
      <c r="B57" s="15">
        <v>70993007997</v>
      </c>
      <c r="C57" s="27">
        <v>384</v>
      </c>
      <c r="D57" s="14" t="s">
        <v>310</v>
      </c>
      <c r="E57" s="14" t="str">
        <f>IF(ISBLANK(HLOOKUP(A57,INDEX!$4:$17,10,0))=FALSE,"Done","")</f>
        <v>Done</v>
      </c>
      <c r="F57" s="14"/>
      <c r="G57" s="14"/>
      <c r="H57" s="14"/>
      <c r="I57" s="14"/>
    </row>
    <row r="58" spans="1:9" ht="30" x14ac:dyDescent="0.25">
      <c r="A58" s="12">
        <f t="shared" si="0"/>
        <v>54</v>
      </c>
      <c r="B58" s="15" t="s">
        <v>58</v>
      </c>
      <c r="C58" s="27">
        <v>400</v>
      </c>
      <c r="D58" s="14" t="s">
        <v>306</v>
      </c>
      <c r="E58" s="14" t="str">
        <f>IF(ISBLANK(HLOOKUP(A58,INDEX!$4:$17,10,0))=FALSE,"Done","")</f>
        <v>Done</v>
      </c>
      <c r="F58" s="14"/>
      <c r="G58" s="14"/>
      <c r="H58" s="14"/>
      <c r="I58" s="14"/>
    </row>
    <row r="59" spans="1:9" ht="30" x14ac:dyDescent="0.25">
      <c r="A59" s="12">
        <f t="shared" si="0"/>
        <v>55</v>
      </c>
      <c r="B59" s="15">
        <v>76714006997</v>
      </c>
      <c r="C59" s="27">
        <v>304</v>
      </c>
      <c r="D59" s="14" t="s">
        <v>59</v>
      </c>
      <c r="E59" s="14" t="str">
        <f>IF(ISBLANK(HLOOKUP(A59,INDEX!$4:$17,10,0))=FALSE,"Done","")</f>
        <v>Done</v>
      </c>
      <c r="F59" s="14"/>
      <c r="G59" s="14"/>
      <c r="H59" s="14"/>
      <c r="I59" s="14"/>
    </row>
    <row r="60" spans="1:9" ht="30" x14ac:dyDescent="0.25">
      <c r="A60" s="12">
        <f t="shared" si="0"/>
        <v>56</v>
      </c>
      <c r="B60" s="15">
        <v>71009007505</v>
      </c>
      <c r="C60" s="27">
        <v>480</v>
      </c>
      <c r="D60" s="14" t="s">
        <v>78</v>
      </c>
      <c r="E60" s="14" t="str">
        <f>IF(ISBLANK(HLOOKUP(A60,INDEX!$4:$17,10,0))=FALSE,"Done","")</f>
        <v>Done</v>
      </c>
      <c r="F60" s="14"/>
      <c r="G60" s="14"/>
      <c r="H60" s="14"/>
      <c r="I60" s="14"/>
    </row>
    <row r="61" spans="1:9" ht="45" x14ac:dyDescent="0.25">
      <c r="A61" s="12">
        <f t="shared" si="0"/>
        <v>57</v>
      </c>
      <c r="B61" s="15" t="s">
        <v>60</v>
      </c>
      <c r="C61" s="27">
        <v>448</v>
      </c>
      <c r="D61" s="14" t="s">
        <v>68</v>
      </c>
      <c r="E61" s="14" t="str">
        <f>IF(ISBLANK(HLOOKUP(A61,INDEX!$4:$17,10,0))=FALSE,"Done","")</f>
        <v>Done</v>
      </c>
      <c r="F61" s="14"/>
      <c r="G61" s="14"/>
      <c r="H61" s="14"/>
      <c r="I61" s="14"/>
    </row>
    <row r="62" spans="1:9" ht="30" x14ac:dyDescent="0.25">
      <c r="A62" s="12">
        <f t="shared" si="0"/>
        <v>58</v>
      </c>
      <c r="B62" s="15" t="s">
        <v>61</v>
      </c>
      <c r="C62" s="27">
        <v>576</v>
      </c>
      <c r="D62" s="14" t="s">
        <v>71</v>
      </c>
      <c r="E62" s="14" t="str">
        <f>IF(ISBLANK(HLOOKUP(A62,INDEX!$4:$17,10,0))=FALSE,"Done","")</f>
        <v>Done</v>
      </c>
      <c r="F62" s="14"/>
      <c r="G62" s="14"/>
      <c r="H62" s="14"/>
      <c r="I62" s="14" t="s">
        <v>329</v>
      </c>
    </row>
    <row r="63" spans="1:9" ht="30" x14ac:dyDescent="0.25">
      <c r="A63" s="12">
        <f t="shared" si="0"/>
        <v>59</v>
      </c>
      <c r="B63" s="15" t="s">
        <v>62</v>
      </c>
      <c r="C63" s="27">
        <v>480</v>
      </c>
      <c r="D63" s="14" t="s">
        <v>63</v>
      </c>
      <c r="E63" s="14" t="str">
        <f>IF(ISBLANK(HLOOKUP(A63,INDEX!$4:$17,10,0))=FALSE,"Done","")</f>
        <v>Done</v>
      </c>
      <c r="F63" s="14"/>
      <c r="G63" s="14"/>
      <c r="H63" s="14"/>
      <c r="I63" s="14"/>
    </row>
  </sheetData>
  <autoFilter ref="A4:I63" xr:uid="{1BF980C4-25D6-47C1-9A63-0D1480F7EDCF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2022-03-14T16:47:02Z</dcterms:created>
  <dcterms:modified xsi:type="dcterms:W3CDTF">2022-03-21T04:10:34Z</dcterms:modified>
</cp:coreProperties>
</file>